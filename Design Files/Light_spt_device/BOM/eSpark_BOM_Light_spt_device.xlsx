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lightsptdevice\Design Files\Light_spt_device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72" i="1" l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73" i="1" l="1"/>
  <c r="Q74" i="1" s="1"/>
  <c r="Q11" i="1"/>
  <c r="M11" i="1"/>
  <c r="M10" i="1"/>
  <c r="B11" i="1"/>
  <c r="B10" i="1"/>
</calcChain>
</file>

<file path=xl/sharedStrings.xml><?xml version="1.0" encoding="utf-8"?>
<sst xmlns="http://schemas.openxmlformats.org/spreadsheetml/2006/main" count="664" uniqueCount="389">
  <si>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</si>
  <si>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</si>
  <si>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</si>
  <si>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</si>
  <si>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</si>
  <si>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</si>
  <si>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</si>
  <si>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</si>
  <si>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</si>
  <si>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Antenna</t>
  </si>
  <si>
    <t>Capacitor</t>
  </si>
  <si>
    <t>Diode</t>
  </si>
  <si>
    <t>ESD Diode</t>
  </si>
  <si>
    <t>Fuse</t>
  </si>
  <si>
    <t>Terminal Block</t>
  </si>
  <si>
    <t>Connector</t>
  </si>
  <si>
    <t>Pogo Connector</t>
  </si>
  <si>
    <t>SMA</t>
  </si>
  <si>
    <t>SIM Card Connectors</t>
  </si>
  <si>
    <t>Relay</t>
  </si>
  <si>
    <t>Inductor</t>
  </si>
  <si>
    <t>LED</t>
  </si>
  <si>
    <t>Mosfet</t>
  </si>
  <si>
    <t>Resistor</t>
  </si>
  <si>
    <t>Tactile Switch</t>
  </si>
  <si>
    <t>IC</t>
  </si>
  <si>
    <t>Crystal</t>
  </si>
  <si>
    <t>Designator</t>
  </si>
  <si>
    <t>ANT1</t>
  </si>
  <si>
    <t>ANT2</t>
  </si>
  <si>
    <t>C1, C3, C7, C9, C12, C17, C18, C19, C22, C23, C25, C32, C37, C38, C39, C40, C41, C42, C43, C44, C45, C46, C47</t>
  </si>
  <si>
    <t>C2, C8, C20</t>
  </si>
  <si>
    <t>C4</t>
  </si>
  <si>
    <t>C5, C6, C10, C11</t>
  </si>
  <si>
    <t>C13, C16, C21, C24, C33</t>
  </si>
  <si>
    <t>C14, C15</t>
  </si>
  <si>
    <t>C26, C27, C34, C35, C36</t>
  </si>
  <si>
    <t>C28</t>
  </si>
  <si>
    <t>C29</t>
  </si>
  <si>
    <t>C30</t>
  </si>
  <si>
    <t>C31</t>
  </si>
  <si>
    <t>D1</t>
  </si>
  <si>
    <t>D2, D12</t>
  </si>
  <si>
    <t>D3</t>
  </si>
  <si>
    <t>D4</t>
  </si>
  <si>
    <t>D5</t>
  </si>
  <si>
    <t>D6</t>
  </si>
  <si>
    <t>D7, D8</t>
  </si>
  <si>
    <t>D9, D10, D11</t>
  </si>
  <si>
    <t>D13, D14</t>
  </si>
  <si>
    <t>F1</t>
  </si>
  <si>
    <t>F2</t>
  </si>
  <si>
    <t>F3, F4</t>
  </si>
  <si>
    <t>J1</t>
  </si>
  <si>
    <t>J2, J3, J4, J5, J6</t>
  </si>
  <si>
    <t>J7</t>
  </si>
  <si>
    <t>J8</t>
  </si>
  <si>
    <t>J9, J12</t>
  </si>
  <si>
    <t>J10</t>
  </si>
  <si>
    <t>J11</t>
  </si>
  <si>
    <t>K1</t>
  </si>
  <si>
    <t>L1</t>
  </si>
  <si>
    <t>L2</t>
  </si>
  <si>
    <t>L3</t>
  </si>
  <si>
    <t>LED1, LED2, LED4</t>
  </si>
  <si>
    <t>LED3</t>
  </si>
  <si>
    <t>P1, P2, P3, P4</t>
  </si>
  <si>
    <t>Q1, Q3, Q4, Q5, Q6, Q7</t>
  </si>
  <si>
    <t>Q2</t>
  </si>
  <si>
    <t>R1</t>
  </si>
  <si>
    <t>R2, R4</t>
  </si>
  <si>
    <t>R3, R8, R11, R12, R13, R15</t>
  </si>
  <si>
    <t>R5</t>
  </si>
  <si>
    <t>R6, R7, R16, R22, R25, R26, R28, R30, R32, R33, R34, R35, R36, R37, R38, R39, R40</t>
  </si>
  <si>
    <t>R9, R10, R19</t>
  </si>
  <si>
    <t>R14</t>
  </si>
  <si>
    <t>R17, R23, R27, R29, R31</t>
  </si>
  <si>
    <t>R18, R20, R41, R42</t>
  </si>
  <si>
    <t>R21, R24</t>
  </si>
  <si>
    <t>R43, R44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</si>
  <si>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</si>
  <si>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</si>
  <si>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</si>
  <si>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</si>
  <si>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</si>
  <si>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</si>
  <si>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</si>
  <si>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</si>
  <si>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</si>
  <si>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</si>
  <si>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X1</t>
  </si>
  <si>
    <t>Description</t>
  </si>
  <si>
    <t>RF ANT 1.575GHZ CHIP SOLDER SMD</t>
  </si>
  <si>
    <t>CAP CER 0.1UF 100V X5R 0402</t>
  </si>
  <si>
    <t>CAP CER 10UF 10V X5R 0402</t>
  </si>
  <si>
    <t>CAP CER 100PF 50V C0G/NP0 0402</t>
  </si>
  <si>
    <t>CAP CER 22UF 25V X5R 1206</t>
  </si>
  <si>
    <t>CAP CER 1UF 50V X5R 0402</t>
  </si>
  <si>
    <t>CAP CER 10000PF 50V X7R 0402</t>
  </si>
  <si>
    <t>CAP CER 22PF 50V C0G/NPO 0402</t>
  </si>
  <si>
    <t>CAP CER 2.2PF 50V C0G/NPO 0603</t>
  </si>
  <si>
    <t>CAP CER 33PF 25V C0G/NP0 0402</t>
  </si>
  <si>
    <t>CAP CER 0.022UF 16V X5R 0402</t>
  </si>
  <si>
    <t>CAP TANT 220UF 20% 6.3V SMD</t>
  </si>
  <si>
    <t>58.1V 40V 36V Bi-Directional SMB(DO-214AA) TVS ROHS</t>
  </si>
  <si>
    <t>DIODE GEN PURP 75V 150MA SOD323</t>
  </si>
  <si>
    <t>15V 19A 3.3V 4V Bidirectional SOD-323 ESD Protection Devices ROHS</t>
  </si>
  <si>
    <t>DIODE ZENER 5.1V 500MW SOD123</t>
  </si>
  <si>
    <t>TVS DIODE 5VWM 6.3VC DSN0603-2</t>
  </si>
  <si>
    <t>16A 20V 7V 5V@Max Unidirectional SOT-23 TVS ROHS</t>
  </si>
  <si>
    <t>35A@8/20us 15V 4.5V@Max Unidirectional DFN1006 TVS ROHS</t>
  </si>
  <si>
    <t>DIODE ZENER ARRAY 3.3V SOT363</t>
  </si>
  <si>
    <t>SMB(DO-214AA) TVS ROHS</t>
  </si>
  <si>
    <t>33V 1.5A 40A 3A 1812 Resettable Fuses ROHS</t>
  </si>
  <si>
    <t>6V 500mA 40A 1A 0603 Resettable Fuses ROHS</t>
  </si>
  <si>
    <t>9V 200mA 100A 500mA 0805 Resettable Fuses ROHS</t>
  </si>
  <si>
    <t>1x2P 18A -40℃~+105℃ 250V Black 12~30 Straight pin 5.08mm 2.5 1 2 Plugin,P=5.08mm Screw terminal ROHS</t>
  </si>
  <si>
    <t>1x3P 18A -40℃~+105℃ 250V Black 12~30 Straight pin 5.08mm 2.5 1 3 Plugin,P=5.08mm Screw terminal ROHS</t>
  </si>
  <si>
    <t>CONN HEADER SMD 11POS 1.25MM</t>
  </si>
  <si>
    <t>1x6P SH 1 1mm 6 SMD,P=1mm Wire To Board / Wire To Wire Connector ROHS</t>
  </si>
  <si>
    <t>Pogo Pad 2.5mm 4 Pin</t>
  </si>
  <si>
    <t>1 Inner bore SMA Board Edge Bend -55℃~+155℃ 50Ω Plugin RF Connectors / Coaxial Connectors ROHS</t>
  </si>
  <si>
    <t>Copper Alloy Self bomb Gold plating 1.25mm Deck -40℃~+85℃ 260℃ NanoSIM SMD SIM Card Connectors ROHS</t>
  </si>
  <si>
    <t>RELAY GEN PURPOSE SPDT 3A 3V</t>
  </si>
  <si>
    <t>FIXED IND 10UH 2.5A 43.7 MOHM</t>
  </si>
  <si>
    <t>2.7A 6.8uH ±20% 50mΩ SMD Power Inductors ROHS</t>
  </si>
  <si>
    <t>2nH ±0.3nH 0603 Inductors</t>
  </si>
  <si>
    <t>Red 632nm LED Indication - Discrete 2.05V 0603 (1608 Metric)</t>
  </si>
  <si>
    <t>Yellow-Green 572nm LED Indication - Discrete 2.05V 0603 (1608 Metric)</t>
  </si>
  <si>
    <t>Test Point ON</t>
  </si>
  <si>
    <t>TRANS NPN 40V 0.6A SMD SOT23-3</t>
  </si>
  <si>
    <t>20V 2.2A 800mW 110mΩ@4.5V,2.7A 810mV@250uA P Channel SOT-23 MOSFETs ROHS</t>
  </si>
  <si>
    <t>RES 39K OHM 1% 1/16W 0402</t>
  </si>
  <si>
    <t>RES 470 OHM 5% 1/20W 0201</t>
  </si>
  <si>
    <t>RES SMD 10K OHM 1% 1/20W 0201</t>
  </si>
  <si>
    <t>RES 499 OHM 1% 1/16W 0402</t>
  </si>
  <si>
    <t>RES 4.7K OHM 1% 1/16W 0402</t>
  </si>
  <si>
    <t>RES 0 OHM JUMPER 1/16W 0402</t>
  </si>
  <si>
    <t>RES 1K OHM 5% 1/16W 0402</t>
  </si>
  <si>
    <t>RES 47K OHM 1% 1/16W 0402</t>
  </si>
  <si>
    <t>RES SMD 22 OHM 1% 1/5W 0402</t>
  </si>
  <si>
    <t>RES 180 OHM 1% 1/10W 0603</t>
  </si>
  <si>
    <t>RES ARRAY 4 RES 100K OHM 1206</t>
  </si>
  <si>
    <t>50mA Lying SPST 24V Plugin Tactile Switches ROHS</t>
  </si>
  <si>
    <t>IC REG BUCK ADJUSTABLE 2A TSOT26</t>
  </si>
  <si>
    <t>IC REG BUCK 3.3V 2A TSOT26</t>
  </si>
  <si>
    <t>IC FLASH 64M SPI 133MHZ 8SOIC</t>
  </si>
  <si>
    <t>SMD IC ESP32-S3R8, DUAL-CORE MCU</t>
  </si>
  <si>
    <t>IC AUTHENTICATION CHIP 8SOIC</t>
  </si>
  <si>
    <t>SMD,30x30mm 2G/3G/4G/5G Modules ROHS</t>
  </si>
  <si>
    <t>15V 5 Unidirectional 5V SOT-363 ESD Protection Devices ROHS</t>
  </si>
  <si>
    <t>IC TRNSLTR BIDIRECTIONAL US8</t>
  </si>
  <si>
    <t>IC TRANSCEIVER FULL 2/2 16SOIC</t>
  </si>
  <si>
    <t>40MHz SMD Crystal Resonator 15pF SMD3225-4P Crystals ROHS</t>
  </si>
  <si>
    <t>Footprint</t>
  </si>
  <si>
    <t>ANT*</t>
  </si>
  <si>
    <t>W3011</t>
  </si>
  <si>
    <t>Cap-0402</t>
  </si>
  <si>
    <t>Cap-1206</t>
  </si>
  <si>
    <t>Cap-0603</t>
  </si>
  <si>
    <t>Case-B</t>
  </si>
  <si>
    <t>SMB_</t>
  </si>
  <si>
    <t>SOD-323</t>
  </si>
  <si>
    <t>SOD-123</t>
  </si>
  <si>
    <t>DSN0603-2</t>
  </si>
  <si>
    <t>Sot-23</t>
  </si>
  <si>
    <t>DFN1006-2L_</t>
  </si>
  <si>
    <t>SOT-363</t>
  </si>
  <si>
    <t>Fuse-1812_</t>
  </si>
  <si>
    <t>Fuse-0603</t>
  </si>
  <si>
    <t>Fuse-0805</t>
  </si>
  <si>
    <t>DB128L-5.08-2P-BK-S</t>
  </si>
  <si>
    <t>DB128L-5.08-3P-BK-S</t>
  </si>
  <si>
    <t>XKNANO-113</t>
  </si>
  <si>
    <t>J102K1CS33VDC.20</t>
  </si>
  <si>
    <t>IND-0603 (1608 Metric)</t>
  </si>
  <si>
    <t>LED-0603</t>
  </si>
  <si>
    <t>Test-point</t>
  </si>
  <si>
    <t>SOT-23</t>
  </si>
  <si>
    <t>Res-0402</t>
  </si>
  <si>
    <t>Res-0201</t>
  </si>
  <si>
    <t>Res-0603</t>
  </si>
  <si>
    <t>1825027-8</t>
  </si>
  <si>
    <t>TSOT-26-6</t>
  </si>
  <si>
    <t>TSOT-23-6</t>
  </si>
  <si>
    <t>SOIC-8 (208 mil)</t>
  </si>
  <si>
    <t>56-QFN (7x7)</t>
  </si>
  <si>
    <t>SOIC-8</t>
  </si>
  <si>
    <t>SIM7500E</t>
  </si>
  <si>
    <t>VSSOP-8(2x2.3x0.5)</t>
  </si>
  <si>
    <t>SOIC-16</t>
  </si>
  <si>
    <t>Manufacturer Part Number</t>
  </si>
  <si>
    <t>GRM155R62A104KE14D</t>
  </si>
  <si>
    <t>CL05A106MP5NUNC</t>
  </si>
  <si>
    <t>GRM1555C1H101JA01D</t>
  </si>
  <si>
    <t>12063D226KAT2A</t>
  </si>
  <si>
    <t>UMK105CBJ105MV-F</t>
  </si>
  <si>
    <t>CC0402KRX7R9BB103</t>
  </si>
  <si>
    <t>CC0402JRNPO9BN220</t>
  </si>
  <si>
    <t>CC0603CRNPO9BN2R2</t>
  </si>
  <si>
    <t>GRM1555C1E330JA01D</t>
  </si>
  <si>
    <t>CC0402KRX5R7BB223</t>
  </si>
  <si>
    <t>TLJB227M006R0500</t>
  </si>
  <si>
    <t>SMBJ36CA</t>
  </si>
  <si>
    <t>1N4148WS-7-F</t>
  </si>
  <si>
    <t>UDD32C03L01</t>
  </si>
  <si>
    <t>MMSZ5231BT1G</t>
  </si>
  <si>
    <t>PESD5V0H1BSFYL</t>
  </si>
  <si>
    <t>ESD5302F-3/TR</t>
  </si>
  <si>
    <t>ESD5651N-2/TR</t>
  </si>
  <si>
    <t>BZX84C3V3TS-7-F</t>
  </si>
  <si>
    <t>SMBJ26CA</t>
  </si>
  <si>
    <t>BSMD1812-150-33V</t>
  </si>
  <si>
    <t>SMD0603-050</t>
  </si>
  <si>
    <t>SMD0805P020TF</t>
  </si>
  <si>
    <t>53398-1171</t>
  </si>
  <si>
    <t>C145963</t>
  </si>
  <si>
    <t>POGO Connector 4 Pin</t>
  </si>
  <si>
    <t>HJ-SMA508</t>
  </si>
  <si>
    <t>SLF10145T-100M2R5-PF</t>
  </si>
  <si>
    <t>LVC505040-6R8M-N</t>
  </si>
  <si>
    <t>SDCL1608C2N0STDF</t>
  </si>
  <si>
    <t>19-21/R7C-AK1L2BY/3T</t>
  </si>
  <si>
    <t>19-21/G6C-FM1N2B/3T</t>
  </si>
  <si>
    <t>MMBT2222A-7-F</t>
  </si>
  <si>
    <t>WPM2015-3/TR</t>
  </si>
  <si>
    <t>RC0402FR-0739KL</t>
  </si>
  <si>
    <t>RC0201JR-07470RL</t>
  </si>
  <si>
    <t>RC0201FR-0710KL</t>
  </si>
  <si>
    <t>RC0402FR-07499RL</t>
  </si>
  <si>
    <t>RC0402FR-074K7L</t>
  </si>
  <si>
    <t>RC0402FR-070RL</t>
  </si>
  <si>
    <t>RC0402JR-071KL</t>
  </si>
  <si>
    <t>RC0402FR-0747KL</t>
  </si>
  <si>
    <t>RCS040222R0FKED</t>
  </si>
  <si>
    <t>RC0603FR-07180RL</t>
  </si>
  <si>
    <t>YC164-JR-07100KL</t>
  </si>
  <si>
    <t>AP63200WU-7</t>
  </si>
  <si>
    <t>AP63203WU-7</t>
  </si>
  <si>
    <t>W25Q64JVSSIQ TR</t>
  </si>
  <si>
    <t>ESP32-S3R8</t>
  </si>
  <si>
    <t>ATECC608B-SSHDA-B</t>
  </si>
  <si>
    <t>SMF05CT1G-ES</t>
  </si>
  <si>
    <t>TXB0102DCUT</t>
  </si>
  <si>
    <t>MAX3232IDR</t>
  </si>
  <si>
    <t>X322540MPB4SI</t>
  </si>
  <si>
    <t>Manufacturer</t>
  </si>
  <si>
    <t>Pulse</t>
  </si>
  <si>
    <t>Murata</t>
  </si>
  <si>
    <t>Samsung</t>
  </si>
  <si>
    <t>Kyocera AVX</t>
  </si>
  <si>
    <t>Taiyo Yuden</t>
  </si>
  <si>
    <t>Yageo</t>
  </si>
  <si>
    <t>Slkor(SLKORMICRO Elec.)</t>
  </si>
  <si>
    <t>Diodes</t>
  </si>
  <si>
    <t>Brightking</t>
  </si>
  <si>
    <t>ON Semiconductor</t>
  </si>
  <si>
    <t>Nexperia</t>
  </si>
  <si>
    <t>WILLSEMI</t>
  </si>
  <si>
    <t>WILLSEMI(Will Semicon)</t>
  </si>
  <si>
    <t>Diodes Incorporated</t>
  </si>
  <si>
    <t>MSKSEMI</t>
  </si>
  <si>
    <t>BHFUSE</t>
  </si>
  <si>
    <t>TECHFUSE</t>
  </si>
  <si>
    <t>RUILON</t>
  </si>
  <si>
    <t>DIBO</t>
  </si>
  <si>
    <t>Molex</t>
  </si>
  <si>
    <t>BOOMELE</t>
  </si>
  <si>
    <t>HJ Tech</t>
  </si>
  <si>
    <t>XKB Connectivity</t>
  </si>
  <si>
    <t>CIT Relay &amp; Switch</t>
  </si>
  <si>
    <t>TDK</t>
  </si>
  <si>
    <t>Chlisin Elec</t>
  </si>
  <si>
    <t>Sunlord</t>
  </si>
  <si>
    <t>Everlight Elec</t>
  </si>
  <si>
    <t>Vishay Dale</t>
  </si>
  <si>
    <t>TE Connectivity</t>
  </si>
  <si>
    <t>Winbond</t>
  </si>
  <si>
    <t>Espressif Systems</t>
  </si>
  <si>
    <t>Microchip</t>
  </si>
  <si>
    <t>SIMCom</t>
  </si>
  <si>
    <t>ElecSuper</t>
  </si>
  <si>
    <t>Texas Instruments</t>
  </si>
  <si>
    <t>Yangxing Tech</t>
  </si>
  <si>
    <t>LCSC Part Number</t>
  </si>
  <si>
    <t>C162178</t>
  </si>
  <si>
    <t>C315248</t>
  </si>
  <si>
    <t>C77177</t>
  </si>
  <si>
    <t>C2167862</t>
  </si>
  <si>
    <t>C60133</t>
  </si>
  <si>
    <t>C106203</t>
  </si>
  <si>
    <t>C282246</t>
  </si>
  <si>
    <t>C441758</t>
  </si>
  <si>
    <t>C541399</t>
  </si>
  <si>
    <t>C30242</t>
  </si>
  <si>
    <t>C556189</t>
  </si>
  <si>
    <t>C60580</t>
  </si>
  <si>
    <t>C78439</t>
  </si>
  <si>
    <t>C66198</t>
  </si>
  <si>
    <t>C477989</t>
  </si>
  <si>
    <t>C239643</t>
  </si>
  <si>
    <t>C239784</t>
  </si>
  <si>
    <t>C5124989</t>
  </si>
  <si>
    <t>C5331111</t>
  </si>
  <si>
    <t>C883154</t>
  </si>
  <si>
    <t>C69679</t>
  </si>
  <si>
    <t>C20976</t>
  </si>
  <si>
    <t>C430601</t>
  </si>
  <si>
    <t>C430602</t>
  </si>
  <si>
    <t>C1509209</t>
  </si>
  <si>
    <t>C381071</t>
  </si>
  <si>
    <t>C96116</t>
  </si>
  <si>
    <t>C285870</t>
  </si>
  <si>
    <t>C370234</t>
  </si>
  <si>
    <t>C1322287</t>
  </si>
  <si>
    <t>C93689</t>
  </si>
  <si>
    <t>C94515</t>
  </si>
  <si>
    <t>C213159</t>
  </si>
  <si>
    <t>C137995</t>
  </si>
  <si>
    <t>C106225</t>
  </si>
  <si>
    <t>C137970</t>
  </si>
  <si>
    <t>C105871</t>
  </si>
  <si>
    <t>C106231</t>
  </si>
  <si>
    <t>C105637</t>
  </si>
  <si>
    <t>C93943</t>
  </si>
  <si>
    <t>C137786</t>
  </si>
  <si>
    <t>C192933</t>
  </si>
  <si>
    <t>C2071868</t>
  </si>
  <si>
    <t>C780769</t>
  </si>
  <si>
    <t>C179171</t>
  </si>
  <si>
    <t>C5444784</t>
  </si>
  <si>
    <t>C5180312</t>
  </si>
  <si>
    <t>C2677366</t>
  </si>
  <si>
    <t>C18261</t>
  </si>
  <si>
    <t>C9010</t>
  </si>
  <si>
    <t>0.1uf</t>
  </si>
  <si>
    <t>10uF</t>
  </si>
  <si>
    <t>100pF</t>
  </si>
  <si>
    <t>22uF</t>
  </si>
  <si>
    <t>1uF</t>
  </si>
  <si>
    <t>10nF</t>
  </si>
  <si>
    <t>22PF</t>
  </si>
  <si>
    <t>2.2pF</t>
  </si>
  <si>
    <t>33pF</t>
  </si>
  <si>
    <t>22nF</t>
  </si>
  <si>
    <t>220uF</t>
  </si>
  <si>
    <t>10uH</t>
  </si>
  <si>
    <t>6.8uH</t>
  </si>
  <si>
    <t>2nH</t>
  </si>
  <si>
    <t>39K</t>
  </si>
  <si>
    <t>470R</t>
  </si>
  <si>
    <t>10K</t>
  </si>
  <si>
    <t>499R</t>
  </si>
  <si>
    <t>4.7K</t>
  </si>
  <si>
    <t>0R</t>
  </si>
  <si>
    <t>1K</t>
  </si>
  <si>
    <t>47K</t>
  </si>
  <si>
    <t>22R</t>
  </si>
  <si>
    <t>180R</t>
  </si>
  <si>
    <t>100K</t>
  </si>
  <si>
    <t>40MHz</t>
  </si>
  <si>
    <t>Quantity</t>
  </si>
  <si>
    <t>Bill of Materials for Project [Light_spt_device.]</t>
  </si>
  <si>
    <t>Light_spt_device.]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</si>
  <si>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</si>
  <si>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</si>
  <si>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</si>
  <si>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</si>
  <si>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</si>
  <si>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</si>
  <si>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</si>
  <si>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</si>
  <si>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</si>
  <si>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-</t>
  </si>
  <si>
    <t>Custom</t>
  </si>
  <si>
    <t>Digikey</t>
  </si>
  <si>
    <t>LCSC</t>
  </si>
  <si>
    <t>JLCPCB</t>
  </si>
  <si>
    <t>GRM155R61H105KE05D</t>
  </si>
  <si>
    <t>C1518208</t>
  </si>
  <si>
    <t>RC-01W471JT</t>
  </si>
  <si>
    <t>C304545</t>
  </si>
  <si>
    <t>0402WGJ0220TCE</t>
  </si>
  <si>
    <t>C25152</t>
  </si>
  <si>
    <t>C504827</t>
  </si>
  <si>
    <t>Chipsmall</t>
  </si>
  <si>
    <t>Test Point</t>
  </si>
  <si>
    <t>C266196</t>
  </si>
  <si>
    <t>DO NOT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</si>
</sst>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22" fillId="2" borderId="16" xfId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2" fillId="2" borderId="17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1" fillId="4" borderId="16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22" fillId="2" borderId="17" xfId="1" applyFill="1" applyBorder="1" applyAlignment="1">
      <alignment horizontal="center" vertical="center"/>
    </xf>
    <xf numFmtId="165" fontId="18" fillId="2" borderId="17" xfId="0" applyNumberFormat="1" applyFont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0" fillId="0" borderId="0" xfId="0" applyAlignment="1"/>
    <xf numFmtId="0" fontId="23" fillId="2" borderId="17" xfId="0" applyFont="1" applyFill="1" applyBorder="1" applyAlignment="1">
      <alignment horizontal="center" vertical="center" wrapText="1"/>
    </xf>
    <xf numFmtId="165" fontId="23" fillId="2" borderId="17" xfId="0" applyNumberFormat="1" applyFont="1" applyFill="1" applyBorder="1" applyAlignment="1">
      <alignment horizontal="center" vertical="center" wrapText="1"/>
    </xf>
    <xf numFmtId="165" fontId="23" fillId="2" borderId="16" xfId="0" applyNumberFormat="1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RC0201FR-0710KL_C106225.html" TargetMode="External"/><Relationship Id="rId18" Type="http://schemas.openxmlformats.org/officeDocument/2006/relationships/hyperlink" Target="https://www.lcsc.com/product-detail/Resettable-Fuses_RUILON-Shenzhen-Ruilongyuan-Elec-SMD0805P020TF_C20976.html" TargetMode="External"/><Relationship Id="rId26" Type="http://schemas.openxmlformats.org/officeDocument/2006/relationships/hyperlink" Target="https://www.lcsc.com/product-detail/TVS_Slkor-SLKORMICRO-Elec-SMBJ36CA_C556189.html" TargetMode="External"/><Relationship Id="rId39" Type="http://schemas.openxmlformats.org/officeDocument/2006/relationships/hyperlink" Target="https://www.lcsc.com/product-detail/Resettable-Fuses_BHFUSE-BSMD1812-150-33V_C883154.html" TargetMode="External"/><Relationship Id="rId21" Type="http://schemas.openxmlformats.org/officeDocument/2006/relationships/hyperlink" Target="https://www.lcsc.com/product-detail/Wire-To-Board-Wire-To-Wire-Connector_MOLEX-533981171_C504827.html" TargetMode="External"/><Relationship Id="rId34" Type="http://schemas.openxmlformats.org/officeDocument/2006/relationships/hyperlink" Target="https://www.lcsc.com/product-detail/ESD-Protection-Devices_Brightking-UDD32C03L01_C78439.html" TargetMode="External"/><Relationship Id="rId42" Type="http://schemas.openxmlformats.org/officeDocument/2006/relationships/hyperlink" Target="https://www.lcsc.com/product-detail/SIM-Card-Connectors_XKB-Connectivity-XKNANO-113_C381071.html" TargetMode="External"/><Relationship Id="rId47" Type="http://schemas.openxmlformats.org/officeDocument/2006/relationships/hyperlink" Target="https://www.lcsc.com/product-detail/Bipolar-Transistors-BJT_Diodes-Incorporated-MMBT2222A-7-F_C94515.html" TargetMode="External"/><Relationship Id="rId50" Type="http://schemas.openxmlformats.org/officeDocument/2006/relationships/hyperlink" Target="https://www.lcsc.com/product-detail/Chip-Resistor-Surface-Mount_YAGEO-RC0603FR-07180RL_C137786.html" TargetMode="External"/><Relationship Id="rId55" Type="http://schemas.openxmlformats.org/officeDocument/2006/relationships/hyperlink" Target="https://www.lcsc.com/product-detail/NOR-FLASH_Winbond-Elec-W25Q64JVSSIQ_C179171.html" TargetMode="External"/><Relationship Id="rId7" Type="http://schemas.openxmlformats.org/officeDocument/2006/relationships/hyperlink" Target="https://www.lcsc.com/product-detail/Multilayer-Ceramic-Capacitors-MLCC-SMD-SMT_Murata-Electronics-GRM155R62A104KE14D_C162178.html" TargetMode="External"/><Relationship Id="rId2" Type="http://schemas.openxmlformats.org/officeDocument/2006/relationships/hyperlink" Target="https://www.lcsc.com/product-detail/Tantalum-Capacitors_Kyocera-AVX-TLJB227M006R0500_C30242.html" TargetMode="External"/><Relationship Id="rId16" Type="http://schemas.openxmlformats.org/officeDocument/2006/relationships/hyperlink" Target="https://www.lcsc.com/product-detail/Chip-Resistor-Surface-Mount_UNI-ROYAL-Uniroyal-Elec-0402WGJ0220TCE_C25152.html" TargetMode="External"/><Relationship Id="rId29" Type="http://schemas.openxmlformats.org/officeDocument/2006/relationships/hyperlink" Target="https://www.lcsc.com/product-detail/Multilayer-Ceramic-Capacitors-MLCC-SMD-SMT_YAGEO-CC0402KRX7R9BB103_C60133.html" TargetMode="External"/><Relationship Id="rId11" Type="http://schemas.openxmlformats.org/officeDocument/2006/relationships/hyperlink" Target="https://www.lcsc.com/product-detail/Chip-Resistor-Surface-Mount_FH-Guangdong-Fenghua-Advanced-Tech-RC-01W471JT_C304545.html" TargetMode="External"/><Relationship Id="rId24" Type="http://schemas.openxmlformats.org/officeDocument/2006/relationships/hyperlink" Target="https://www.lcsc.com/product-detail/Inductors-SMD_Sunlord-SDCL1608C2N0STDF_C370234.html" TargetMode="External"/><Relationship Id="rId32" Type="http://schemas.openxmlformats.org/officeDocument/2006/relationships/hyperlink" Target="https://www.lcsc.com/product-detail/Multilayer-Ceramic-Capacitors-MLCC-SMD-SMT_YAGEO-CC0402KRX5R7BB223_C541399.html" TargetMode="External"/><Relationship Id="rId37" Type="http://schemas.openxmlformats.org/officeDocument/2006/relationships/hyperlink" Target="https://www.lcsc.com/product-detail/TVS_WILLSEMI-Will-Semicon-ESD5302F-3-TR_C239643.html" TargetMode="External"/><Relationship Id="rId40" Type="http://schemas.openxmlformats.org/officeDocument/2006/relationships/hyperlink" Target="https://www.lcsc.com/product-detail/Resettable-Fuses_TECHFUSE-SMD0603-050_C69679.html" TargetMode="External"/><Relationship Id="rId45" Type="http://schemas.openxmlformats.org/officeDocument/2006/relationships/hyperlink" Target="https://www.lcsc.com/product-detail/Light-Emitting-Diodes-LED_Everlight-Elec-19-21-G6C-FM1N2B-3T_C93689.html" TargetMode="External"/><Relationship Id="rId53" Type="http://schemas.openxmlformats.org/officeDocument/2006/relationships/hyperlink" Target="https://www.lcsc.com/product-detail/DC-DC-Converters_Diodes-Incorporated-AP63200WU-7_C2071868.html" TargetMode="External"/><Relationship Id="rId58" Type="http://schemas.openxmlformats.org/officeDocument/2006/relationships/hyperlink" Target="https://www.lcsc.com/product-detail/Crystals_Yangxing-Tech-X322540MPB4SI_C9010.html" TargetMode="External"/><Relationship Id="rId5" Type="http://schemas.openxmlformats.org/officeDocument/2006/relationships/hyperlink" Target="https://www.lcsc.com/product-detail/ESD-Protection-Devices_ElecSuper-SMF05CT1G-ES_C5180312.html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www.lcsc.com/product-detail/TVS_MSKSEMI-SMBJ26CA_C5331111.html" TargetMode="External"/><Relationship Id="rId14" Type="http://schemas.openxmlformats.org/officeDocument/2006/relationships/hyperlink" Target="https://www.lcsc.com/product-detail/Chip-Resistor-Surface-Mount_YAGEO-RC0402FR-074K7L_C105871.html" TargetMode="External"/><Relationship Id="rId22" Type="http://schemas.openxmlformats.org/officeDocument/2006/relationships/hyperlink" Target="https://www.lcsc.com/product-detail/Wire-To-Board-Wire-To-Wire-Connector_BOOMELE-Boom-Precision-Elec-C145963_C145963.html" TargetMode="External"/><Relationship Id="rId27" Type="http://schemas.openxmlformats.org/officeDocument/2006/relationships/hyperlink" Target="https://www.lcsc.com/product-detail/Multilayer-Ceramic-Capacitors-MLCC-SMD-SMT_Murata-Electronics-GRM1555C1H101JA01D_C77177.html" TargetMode="External"/><Relationship Id="rId30" Type="http://schemas.openxmlformats.org/officeDocument/2006/relationships/hyperlink" Target="https://www.lcsc.com/product-detail/Multilayer-Ceramic-Capacitors-MLCC-SMD-SMT_YAGEO-CC0603CRNPO9BN2R2_C282246.html" TargetMode="External"/><Relationship Id="rId35" Type="http://schemas.openxmlformats.org/officeDocument/2006/relationships/hyperlink" Target="https://www.lcsc.com/product-detail/Zener-Diodes_onsemi-MMSZ5231BT1G_C66198.html" TargetMode="External"/><Relationship Id="rId43" Type="http://schemas.openxmlformats.org/officeDocument/2006/relationships/hyperlink" Target="https://www.lcsc.com/product-detail/Power-Inductors_TDK-SLF10145T-100M2R5-PF_C96116.html" TargetMode="External"/><Relationship Id="rId48" Type="http://schemas.openxmlformats.org/officeDocument/2006/relationships/hyperlink" Target="https://www.lcsc.com/product-detail/MOSFETs_WILLSEMI-Will-Semicon-WPM2015-3-TR_C213159.html" TargetMode="External"/><Relationship Id="rId56" Type="http://schemas.openxmlformats.org/officeDocument/2006/relationships/hyperlink" Target="https://www.lcsc.com/product-detail/Security-Verification-Encryption-ICs_Microchip-Tech-ATECC608B-SSHDA-B_C5444784.html" TargetMode="External"/><Relationship Id="rId8" Type="http://schemas.openxmlformats.org/officeDocument/2006/relationships/hyperlink" Target="https://www.lcsc.com/product-detail/Multilayer-Ceramic-Capacitors-MLCC-SMD-SMT_Samsung-Electro-Mechanics-CL05A106MP5NUNC_C315248.html" TargetMode="External"/><Relationship Id="rId51" Type="http://schemas.openxmlformats.org/officeDocument/2006/relationships/hyperlink" Target="https://www.lcsc.com/product-detail/Resistor-Networks-Arrays_YAGEO-YC164-JR-07100KL_C192933.html" TargetMode="External"/><Relationship Id="rId3" Type="http://schemas.openxmlformats.org/officeDocument/2006/relationships/hyperlink" Target="https://www.lcsc.com/product-detail/RF-Connectors-Coaxial-Connectors_HJ-Tech-HJ-SMA508_C1509209.html" TargetMode="External"/><Relationship Id="rId12" Type="http://schemas.openxmlformats.org/officeDocument/2006/relationships/hyperlink" Target="https://www.lcsc.com/product-detail/Chip-Resistor-Surface-Mount_YAGEO-RC0402FR-07499RL_C137970.html" TargetMode="External"/><Relationship Id="rId17" Type="http://schemas.openxmlformats.org/officeDocument/2006/relationships/hyperlink" Target="https://www.lcsc.com/product-detail/Screw-terminal_DIBO-DB128L-5-08-3P-BK-S_C430602.html" TargetMode="External"/><Relationship Id="rId25" Type="http://schemas.openxmlformats.org/officeDocument/2006/relationships/hyperlink" Target="https://www.lcsc.com/product-detail/Light-Emitting-Diodes-LED_Everlight-Elec-19-21-R7C-AK1L2BY-3T_C1322287.html" TargetMode="External"/><Relationship Id="rId33" Type="http://schemas.openxmlformats.org/officeDocument/2006/relationships/hyperlink" Target="https://www.lcsc.com/product-detail/Switching-Diode_Diodes-Incorporated-1N4148WS-7-F_C60580.html" TargetMode="External"/><Relationship Id="rId38" Type="http://schemas.openxmlformats.org/officeDocument/2006/relationships/hyperlink" Target="https://www.lcsc.com/product-detail/TVS_WILLSEMI-Will-Semicon-ESD5651N-2-TR_C239784.html" TargetMode="External"/><Relationship Id="rId46" Type="http://schemas.openxmlformats.org/officeDocument/2006/relationships/hyperlink" Target="https://www.lcsc.com/product-detail/Chip-Resistor-Surface-Mount_YAGEO-RC0402JR-071KL_C105637.html" TargetMode="External"/><Relationship Id="rId59" Type="http://schemas.openxmlformats.org/officeDocument/2006/relationships/hyperlink" Target="https://www.digikey.com/en/products/detail/espressif-systems/ESP32-S3R8/15822451" TargetMode="External"/><Relationship Id="rId20" Type="http://schemas.openxmlformats.org/officeDocument/2006/relationships/hyperlink" Target="https://www.lcsc.com/product-detail/Zener-Diodes_Diodes-Incorporated-BZX84C3V3TS-7-F_C5124989.html" TargetMode="External"/><Relationship Id="rId41" Type="http://schemas.openxmlformats.org/officeDocument/2006/relationships/hyperlink" Target="https://www.lcsc.com/product-detail/Screw-terminal_DIBO-DB128L-5-08-2P-BK-S_C430601.html" TargetMode="External"/><Relationship Id="rId54" Type="http://schemas.openxmlformats.org/officeDocument/2006/relationships/hyperlink" Target="https://www.lcsc.com/product-detail/DC-DC-Converters_Diodes-Incorporated-AP63203WU-7_C780769.html" TargetMode="External"/><Relationship Id="rId62" Type="http://schemas.openxmlformats.org/officeDocument/2006/relationships/drawing" Target="../drawings/drawing1.xml"/><Relationship Id="rId1" Type="http://schemas.openxmlformats.org/officeDocument/2006/relationships/hyperlink" Target="https://www.lcsc.com/product-detail/Multilayer-Ceramic-Capacitors-MLCC-SMD-SMT_YAGEO-CC0402JRNPO9BN220_C106203.html" TargetMode="External"/><Relationship Id="rId6" Type="http://schemas.openxmlformats.org/officeDocument/2006/relationships/hyperlink" Target="https://www.lcsc.com/product-detail/Translators-Level-Shifters_Texas-Instruments-TXB0102DCUT_C2677366.html" TargetMode="External"/><Relationship Id="rId15" Type="http://schemas.openxmlformats.org/officeDocument/2006/relationships/hyperlink" Target="https://www.lcsc.com/product-detail/Chip-Resistor-Surface-Mount_YAGEO-RC0402FR-070RL_C106231.html" TargetMode="External"/><Relationship Id="rId23" Type="http://schemas.openxmlformats.org/officeDocument/2006/relationships/hyperlink" Target="https://www.chipsmall.com/Products/J102K1CS35VDC-20_32030008.html" TargetMode="External"/><Relationship Id="rId28" Type="http://schemas.openxmlformats.org/officeDocument/2006/relationships/hyperlink" Target="https://www.lcsc.com/product-detail/Multilayer-Ceramic-Capacitors-MLCC-SMD-SMT_Kyocera-AVX-12063D226KAT2A_C2167862.html" TargetMode="External"/><Relationship Id="rId36" Type="http://schemas.openxmlformats.org/officeDocument/2006/relationships/hyperlink" Target="https://www.lcsc.com/product-detail/ESD-Protection-Devices_Nexperia-PESD5V0H1BSF_C477989.html" TargetMode="External"/><Relationship Id="rId49" Type="http://schemas.openxmlformats.org/officeDocument/2006/relationships/hyperlink" Target="https://www.lcsc.com/product-detail/Chip-Resistor-Surface-Mount_YAGEO-RC0402FR-0739KL_C137995.html" TargetMode="External"/><Relationship Id="rId57" Type="http://schemas.openxmlformats.org/officeDocument/2006/relationships/hyperlink" Target="https://www.lcsc.com/product-detail/RS232-ICs_Texas-Instruments-MAX3232IDR_C18261.html" TargetMode="External"/><Relationship Id="rId10" Type="http://schemas.openxmlformats.org/officeDocument/2006/relationships/hyperlink" Target="https://www.lcsc.com/product-detail/Chip-Resistor-Surface-Mount_YAGEO-RC0402FR-0747KL_C93943.html" TargetMode="External"/><Relationship Id="rId31" Type="http://schemas.openxmlformats.org/officeDocument/2006/relationships/hyperlink" Target="https://www.lcsc.com/product-detail/Multilayer-Ceramic-Capacitors-MLCC-SMD-SMT_Murata-Electronics-GRM1555C1E330JA01D_C441758.html" TargetMode="External"/><Relationship Id="rId44" Type="http://schemas.openxmlformats.org/officeDocument/2006/relationships/hyperlink" Target="https://www.lcsc.com/product-detail/Power-Inductors_Chilisin-Elec-LVC505040-6R8M-N_C285870.html" TargetMode="External"/><Relationship Id="rId52" Type="http://schemas.openxmlformats.org/officeDocument/2006/relationships/hyperlink" Target="https://www.lcsc.com/product-detail/Tactile-Switches_TE-Connectivity-1825027-8_C266196.html" TargetMode="External"/><Relationship Id="rId60" Type="http://schemas.openxmlformats.org/officeDocument/2006/relationships/hyperlink" Target="https://www.digikey.com/en/products/detail/pulse-electronics/W3011/3025804" TargetMode="External"/><Relationship Id="rId4" Type="http://schemas.openxmlformats.org/officeDocument/2006/relationships/hyperlink" Target="https://jlcpcb.com/partdetail/SIMCom_WirelessSolutions-SIM7500E/C126259" TargetMode="External"/><Relationship Id="rId9" Type="http://schemas.openxmlformats.org/officeDocument/2006/relationships/hyperlink" Target="https://www.lcsc.com/product-detail/Multilayer-Ceramic-Capacitors-MLCC-SMD-SMT_Murata-Electronics-GRM155R61H105KE05D_C151820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4"/>
  <sheetViews>
    <sheetView tabSelected="1" workbookViewId="0">
      <selection activeCell="E76" sqref="E76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9.7109375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0"/>
      <c r="L1" s="60"/>
      <c r="M1" s="60"/>
      <c r="N1" s="60"/>
      <c r="O1" s="60"/>
      <c r="P1" s="60"/>
      <c r="Q1" s="60"/>
      <c r="R1" s="60"/>
      <c r="S1" s="61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362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363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2"/>
    </row>
    <row r="4" spans="1:19" x14ac:dyDescent="0.25">
      <c r="A4" s="1"/>
      <c r="B4" s="22"/>
      <c r="C4" s="32"/>
      <c r="D4" s="13" t="s">
        <v>2</v>
      </c>
      <c r="E4" s="13"/>
      <c r="F4" s="57" t="s">
        <v>363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3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3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3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3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3"/>
    </row>
    <row r="9" spans="1:19" ht="15.75" thickBot="1" x14ac:dyDescent="0.3">
      <c r="A9" s="1"/>
      <c r="B9" s="30" t="s">
        <v>4</v>
      </c>
      <c r="C9" s="30" t="s">
        <v>8</v>
      </c>
      <c r="D9" s="30" t="s">
        <v>27</v>
      </c>
      <c r="E9" s="30" t="s">
        <v>91</v>
      </c>
      <c r="F9" s="30" t="s">
        <v>154</v>
      </c>
      <c r="G9" s="30" t="s">
        <v>191</v>
      </c>
      <c r="H9" s="30" t="s">
        <v>246</v>
      </c>
      <c r="I9" s="30" t="s">
        <v>364</v>
      </c>
      <c r="J9" s="30" t="s">
        <v>284</v>
      </c>
      <c r="K9" s="30" t="s">
        <v>365</v>
      </c>
      <c r="L9" s="30" t="s">
        <v>361</v>
      </c>
      <c r="M9" s="30" t="s">
        <v>366</v>
      </c>
      <c r="N9" s="30" t="s">
        <v>367</v>
      </c>
      <c r="O9" s="30" t="s">
        <v>368</v>
      </c>
      <c r="P9" s="30" t="s">
        <v>369</v>
      </c>
      <c r="Q9" s="30" t="s">
        <v>370</v>
      </c>
      <c r="R9" s="30" t="s">
        <v>371</v>
      </c>
      <c r="S9" s="30" t="s">
        <v>372</v>
      </c>
    </row>
    <row r="10" spans="1:19" x14ac:dyDescent="0.25">
      <c r="A10" s="1"/>
      <c r="B10" s="46">
        <f>ROW(B10) - ROW($B$9)</f>
        <v>1</v>
      </c>
      <c r="C10" s="54" t="s">
        <v>9</v>
      </c>
      <c r="D10" s="74" t="s">
        <v>28</v>
      </c>
      <c r="E10" s="74"/>
      <c r="F10" s="74" t="s">
        <v>374</v>
      </c>
      <c r="G10" s="74" t="s">
        <v>155</v>
      </c>
      <c r="H10" s="74" t="s">
        <v>373</v>
      </c>
      <c r="I10" s="74" t="s">
        <v>373</v>
      </c>
      <c r="J10" s="74" t="s">
        <v>373</v>
      </c>
      <c r="K10" s="74" t="s">
        <v>373</v>
      </c>
      <c r="L10" s="74">
        <v>1</v>
      </c>
      <c r="M10" s="74">
        <f>L10*5</f>
        <v>5</v>
      </c>
      <c r="N10" s="74" t="s">
        <v>373</v>
      </c>
      <c r="O10" s="74" t="s">
        <v>373</v>
      </c>
      <c r="P10" s="87" t="s">
        <v>373</v>
      </c>
      <c r="Q10" s="87" t="s">
        <v>373</v>
      </c>
      <c r="R10" s="74"/>
      <c r="S10" s="50"/>
    </row>
    <row r="11" spans="1:19" s="72" customFormat="1" x14ac:dyDescent="0.25">
      <c r="A11" s="71"/>
      <c r="B11" s="47">
        <f t="shared" ref="B11:B71" si="0">ROW(B11) - ROW($B$9)</f>
        <v>2</v>
      </c>
      <c r="C11" s="54" t="s">
        <v>9</v>
      </c>
      <c r="D11" s="51" t="s">
        <v>29</v>
      </c>
      <c r="E11" s="51" t="s">
        <v>92</v>
      </c>
      <c r="F11" s="51" t="s">
        <v>374</v>
      </c>
      <c r="G11" s="51" t="s">
        <v>156</v>
      </c>
      <c r="H11" s="51" t="s">
        <v>247</v>
      </c>
      <c r="I11" s="37" t="s">
        <v>373</v>
      </c>
      <c r="J11" s="37" t="s">
        <v>373</v>
      </c>
      <c r="K11" s="37" t="s">
        <v>373</v>
      </c>
      <c r="L11" s="51">
        <v>1</v>
      </c>
      <c r="M11" s="51">
        <f t="shared" ref="M11" si="1">L11*5</f>
        <v>5</v>
      </c>
      <c r="N11" s="51">
        <v>6</v>
      </c>
      <c r="O11" s="70" t="s">
        <v>375</v>
      </c>
      <c r="P11" s="38">
        <v>1.59</v>
      </c>
      <c r="Q11" s="52">
        <f t="shared" ref="Q11" si="2">P11*N11</f>
        <v>9.5400000000000009</v>
      </c>
      <c r="R11" s="51"/>
      <c r="S11" s="51"/>
    </row>
    <row r="12" spans="1:19" ht="48" x14ac:dyDescent="0.25">
      <c r="A12" s="1"/>
      <c r="B12" s="46">
        <f>ROW(B12) - ROW($B$9)</f>
        <v>3</v>
      </c>
      <c r="C12" s="53" t="s">
        <v>10</v>
      </c>
      <c r="D12" s="37" t="s">
        <v>30</v>
      </c>
      <c r="E12" s="37" t="s">
        <v>93</v>
      </c>
      <c r="F12" s="37" t="s">
        <v>157</v>
      </c>
      <c r="G12" s="37" t="s">
        <v>192</v>
      </c>
      <c r="H12" s="37" t="s">
        <v>248</v>
      </c>
      <c r="I12" s="37" t="s">
        <v>373</v>
      </c>
      <c r="J12" s="37" t="s">
        <v>285</v>
      </c>
      <c r="K12" s="37" t="s">
        <v>335</v>
      </c>
      <c r="L12" s="37">
        <v>23</v>
      </c>
      <c r="M12" s="37">
        <f>L12*5</f>
        <v>115</v>
      </c>
      <c r="N12" s="37">
        <v>150</v>
      </c>
      <c r="O12" s="73" t="s">
        <v>376</v>
      </c>
      <c r="P12" s="38">
        <v>1.0500000000000001E-2</v>
      </c>
      <c r="Q12" s="38">
        <f>P12*N12</f>
        <v>1.5750000000000002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10</v>
      </c>
      <c r="D13" s="51" t="s">
        <v>31</v>
      </c>
      <c r="E13" s="51" t="s">
        <v>94</v>
      </c>
      <c r="F13" s="51" t="s">
        <v>157</v>
      </c>
      <c r="G13" s="51" t="s">
        <v>193</v>
      </c>
      <c r="H13" s="51" t="s">
        <v>249</v>
      </c>
      <c r="I13" s="51" t="s">
        <v>373</v>
      </c>
      <c r="J13" s="51" t="s">
        <v>286</v>
      </c>
      <c r="K13" s="51" t="s">
        <v>336</v>
      </c>
      <c r="L13" s="51">
        <v>3</v>
      </c>
      <c r="M13" s="51">
        <f t="shared" ref="M13" si="3">L13*5</f>
        <v>15</v>
      </c>
      <c r="N13" s="51">
        <v>50</v>
      </c>
      <c r="O13" s="73" t="s">
        <v>376</v>
      </c>
      <c r="P13" s="52">
        <v>1.0800000000000001E-2</v>
      </c>
      <c r="Q13" s="52">
        <f t="shared" ref="Q13" si="4">P13*N13</f>
        <v>0.54</v>
      </c>
      <c r="R13" s="51"/>
      <c r="S13" s="59"/>
    </row>
    <row r="14" spans="1:19" x14ac:dyDescent="0.25">
      <c r="A14" s="1"/>
      <c r="B14" s="46">
        <f>ROW(B14) - ROW($B$9)</f>
        <v>5</v>
      </c>
      <c r="C14" s="54" t="s">
        <v>10</v>
      </c>
      <c r="D14" s="37" t="s">
        <v>32</v>
      </c>
      <c r="E14" s="37" t="s">
        <v>95</v>
      </c>
      <c r="F14" s="37" t="s">
        <v>157</v>
      </c>
      <c r="G14" s="37" t="s">
        <v>194</v>
      </c>
      <c r="H14" s="37" t="s">
        <v>248</v>
      </c>
      <c r="I14" s="37" t="s">
        <v>373</v>
      </c>
      <c r="J14" s="37" t="s">
        <v>287</v>
      </c>
      <c r="K14" s="37" t="s">
        <v>337</v>
      </c>
      <c r="L14" s="37">
        <v>1</v>
      </c>
      <c r="M14" s="37">
        <f>L14*5</f>
        <v>5</v>
      </c>
      <c r="N14" s="37">
        <v>100</v>
      </c>
      <c r="O14" s="70" t="s">
        <v>376</v>
      </c>
      <c r="P14" s="38">
        <v>2.2000000000000001E-3</v>
      </c>
      <c r="Q14" s="38">
        <f>P14*N14</f>
        <v>0.22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10</v>
      </c>
      <c r="D15" s="51" t="s">
        <v>33</v>
      </c>
      <c r="E15" s="51" t="s">
        <v>96</v>
      </c>
      <c r="F15" s="51" t="s">
        <v>158</v>
      </c>
      <c r="G15" s="51" t="s">
        <v>195</v>
      </c>
      <c r="H15" s="51" t="s">
        <v>250</v>
      </c>
      <c r="I15" s="51"/>
      <c r="J15" s="51" t="s">
        <v>288</v>
      </c>
      <c r="K15" s="51" t="s">
        <v>338</v>
      </c>
      <c r="L15" s="51">
        <v>4</v>
      </c>
      <c r="M15" s="51">
        <f t="shared" ref="M15" si="5">L15*5</f>
        <v>20</v>
      </c>
      <c r="N15" s="51">
        <v>21</v>
      </c>
      <c r="O15" s="73" t="s">
        <v>376</v>
      </c>
      <c r="P15" s="52">
        <v>0.39779999999999999</v>
      </c>
      <c r="Q15" s="52">
        <f t="shared" ref="Q15" si="6">P15*N15</f>
        <v>8.3537999999999997</v>
      </c>
      <c r="R15" s="51"/>
      <c r="S15" s="59"/>
    </row>
    <row r="16" spans="1:19" x14ac:dyDescent="0.25">
      <c r="A16" s="1"/>
      <c r="B16" s="46">
        <f>ROW(B16) - ROW($B$9)</f>
        <v>7</v>
      </c>
      <c r="C16" s="53" t="s">
        <v>10</v>
      </c>
      <c r="D16" s="37" t="s">
        <v>34</v>
      </c>
      <c r="E16" s="37" t="s">
        <v>97</v>
      </c>
      <c r="F16" s="37" t="s">
        <v>157</v>
      </c>
      <c r="G16" s="74" t="s">
        <v>196</v>
      </c>
      <c r="H16" s="37" t="s">
        <v>251</v>
      </c>
      <c r="I16" s="37" t="s">
        <v>378</v>
      </c>
      <c r="J16" s="37" t="s">
        <v>379</v>
      </c>
      <c r="K16" s="37" t="s">
        <v>339</v>
      </c>
      <c r="L16" s="37">
        <v>5</v>
      </c>
      <c r="M16" s="37">
        <f>L16*5</f>
        <v>25</v>
      </c>
      <c r="N16" s="37">
        <v>30</v>
      </c>
      <c r="O16" s="73" t="s">
        <v>376</v>
      </c>
      <c r="P16" s="38">
        <v>3.7199999999999997E-2</v>
      </c>
      <c r="Q16" s="38">
        <f>P16*N16</f>
        <v>1.1159999999999999</v>
      </c>
      <c r="R16" s="37"/>
      <c r="S16" s="59"/>
    </row>
    <row r="17" spans="1:19" x14ac:dyDescent="0.25">
      <c r="A17" s="1"/>
      <c r="B17" s="47">
        <f t="shared" si="0"/>
        <v>8</v>
      </c>
      <c r="C17" s="54" t="s">
        <v>10</v>
      </c>
      <c r="D17" s="51" t="s">
        <v>35</v>
      </c>
      <c r="E17" s="51" t="s">
        <v>98</v>
      </c>
      <c r="F17" s="51" t="s">
        <v>157</v>
      </c>
      <c r="G17" s="51" t="s">
        <v>197</v>
      </c>
      <c r="H17" s="51" t="s">
        <v>252</v>
      </c>
      <c r="I17" s="51" t="s">
        <v>373</v>
      </c>
      <c r="J17" s="51" t="s">
        <v>289</v>
      </c>
      <c r="K17" s="51" t="s">
        <v>340</v>
      </c>
      <c r="L17" s="51">
        <v>2</v>
      </c>
      <c r="M17" s="51">
        <f t="shared" ref="M17" si="7">L17*5</f>
        <v>10</v>
      </c>
      <c r="N17" s="51">
        <v>100</v>
      </c>
      <c r="O17" s="73" t="s">
        <v>376</v>
      </c>
      <c r="P17" s="52">
        <v>8.9999999999999998E-4</v>
      </c>
      <c r="Q17" s="52">
        <f t="shared" ref="Q17" si="8">P17*N17</f>
        <v>0.09</v>
      </c>
      <c r="R17" s="51"/>
      <c r="S17" s="59"/>
    </row>
    <row r="18" spans="1:19" x14ac:dyDescent="0.25">
      <c r="A18" s="1"/>
      <c r="B18" s="46">
        <f>ROW(B18) - ROW($B$9)</f>
        <v>9</v>
      </c>
      <c r="C18" s="53" t="s">
        <v>10</v>
      </c>
      <c r="D18" s="37" t="s">
        <v>36</v>
      </c>
      <c r="E18" s="37" t="s">
        <v>99</v>
      </c>
      <c r="F18" s="37" t="s">
        <v>157</v>
      </c>
      <c r="G18" s="37" t="s">
        <v>198</v>
      </c>
      <c r="H18" s="37" t="s">
        <v>252</v>
      </c>
      <c r="I18" s="37" t="s">
        <v>373</v>
      </c>
      <c r="J18" s="37" t="s">
        <v>290</v>
      </c>
      <c r="K18" s="37" t="s">
        <v>341</v>
      </c>
      <c r="L18" s="37">
        <v>5</v>
      </c>
      <c r="M18" s="37">
        <f>L18*5</f>
        <v>25</v>
      </c>
      <c r="N18" s="37">
        <v>100</v>
      </c>
      <c r="O18" s="70" t="s">
        <v>376</v>
      </c>
      <c r="P18" s="38">
        <v>1E-3</v>
      </c>
      <c r="Q18" s="38">
        <f>P18*N18</f>
        <v>0.1</v>
      </c>
      <c r="R18" s="37"/>
      <c r="S18" s="59"/>
    </row>
    <row r="19" spans="1:19" x14ac:dyDescent="0.25">
      <c r="A19" s="1"/>
      <c r="B19" s="47">
        <f t="shared" si="0"/>
        <v>10</v>
      </c>
      <c r="C19" s="54" t="s">
        <v>10</v>
      </c>
      <c r="D19" s="51" t="s">
        <v>37</v>
      </c>
      <c r="E19" s="51" t="s">
        <v>100</v>
      </c>
      <c r="F19" s="51" t="s">
        <v>159</v>
      </c>
      <c r="G19" s="51" t="s">
        <v>199</v>
      </c>
      <c r="H19" s="51" t="s">
        <v>252</v>
      </c>
      <c r="I19" s="51" t="s">
        <v>373</v>
      </c>
      <c r="J19" s="51" t="s">
        <v>291</v>
      </c>
      <c r="K19" s="51" t="s">
        <v>342</v>
      </c>
      <c r="L19" s="51">
        <v>1</v>
      </c>
      <c r="M19" s="51">
        <f t="shared" ref="M19" si="9">L19*5</f>
        <v>5</v>
      </c>
      <c r="N19" s="51">
        <v>100</v>
      </c>
      <c r="O19" s="73" t="s">
        <v>376</v>
      </c>
      <c r="P19" s="52">
        <v>4.0000000000000001E-3</v>
      </c>
      <c r="Q19" s="52">
        <f t="shared" ref="Q19" si="10">P19*N19</f>
        <v>0.4</v>
      </c>
      <c r="R19" s="51"/>
      <c r="S19" s="59"/>
    </row>
    <row r="20" spans="1:19" x14ac:dyDescent="0.25">
      <c r="A20" s="1"/>
      <c r="B20" s="46">
        <f>ROW(B20) - ROW($B$9)</f>
        <v>11</v>
      </c>
      <c r="C20" s="54" t="s">
        <v>10</v>
      </c>
      <c r="D20" s="37" t="s">
        <v>38</v>
      </c>
      <c r="E20" s="37" t="s">
        <v>101</v>
      </c>
      <c r="F20" s="37" t="s">
        <v>157</v>
      </c>
      <c r="G20" s="37" t="s">
        <v>200</v>
      </c>
      <c r="H20" s="37" t="s">
        <v>248</v>
      </c>
      <c r="I20" s="37" t="s">
        <v>373</v>
      </c>
      <c r="J20" s="37" t="s">
        <v>292</v>
      </c>
      <c r="K20" s="37" t="s">
        <v>343</v>
      </c>
      <c r="L20" s="37">
        <v>1</v>
      </c>
      <c r="M20" s="37">
        <f>L20*5</f>
        <v>5</v>
      </c>
      <c r="N20" s="37">
        <v>20</v>
      </c>
      <c r="O20" s="73" t="s">
        <v>376</v>
      </c>
      <c r="P20" s="38">
        <v>2.3699999999999999E-2</v>
      </c>
      <c r="Q20" s="38">
        <f>P20*N20</f>
        <v>0.47399999999999998</v>
      </c>
      <c r="R20" s="37"/>
      <c r="S20" s="59"/>
    </row>
    <row r="21" spans="1:19" x14ac:dyDescent="0.25">
      <c r="A21" s="1"/>
      <c r="B21" s="47">
        <f t="shared" si="0"/>
        <v>12</v>
      </c>
      <c r="C21" s="54" t="s">
        <v>10</v>
      </c>
      <c r="D21" s="51" t="s">
        <v>39</v>
      </c>
      <c r="E21" s="51" t="s">
        <v>102</v>
      </c>
      <c r="F21" s="51" t="s">
        <v>157</v>
      </c>
      <c r="G21" s="51" t="s">
        <v>201</v>
      </c>
      <c r="H21" s="51" t="s">
        <v>252</v>
      </c>
      <c r="I21" s="51" t="s">
        <v>373</v>
      </c>
      <c r="J21" s="51" t="s">
        <v>293</v>
      </c>
      <c r="K21" s="51" t="s">
        <v>344</v>
      </c>
      <c r="L21" s="51">
        <v>1</v>
      </c>
      <c r="M21" s="51">
        <f t="shared" ref="M21" si="11">L21*5</f>
        <v>5</v>
      </c>
      <c r="N21" s="51">
        <v>100</v>
      </c>
      <c r="O21" s="73" t="s">
        <v>376</v>
      </c>
      <c r="P21" s="52">
        <v>3.8999999999999998E-3</v>
      </c>
      <c r="Q21" s="52">
        <f t="shared" ref="Q21" si="12">P21*N21</f>
        <v>0.38999999999999996</v>
      </c>
      <c r="R21" s="51"/>
      <c r="S21" s="59"/>
    </row>
    <row r="22" spans="1:19" x14ac:dyDescent="0.25">
      <c r="A22" s="1"/>
      <c r="B22" s="46">
        <f>ROW(B22) - ROW($B$9)</f>
        <v>13</v>
      </c>
      <c r="C22" s="53" t="s">
        <v>10</v>
      </c>
      <c r="D22" s="37" t="s">
        <v>40</v>
      </c>
      <c r="E22" s="37" t="s">
        <v>103</v>
      </c>
      <c r="F22" s="37" t="s">
        <v>160</v>
      </c>
      <c r="G22" s="37" t="s">
        <v>202</v>
      </c>
      <c r="H22" s="37" t="s">
        <v>250</v>
      </c>
      <c r="I22" s="37" t="s">
        <v>373</v>
      </c>
      <c r="J22" s="37" t="s">
        <v>294</v>
      </c>
      <c r="K22" s="37" t="s">
        <v>345</v>
      </c>
      <c r="L22" s="37">
        <v>1</v>
      </c>
      <c r="M22" s="37">
        <f>L22*5</f>
        <v>5</v>
      </c>
      <c r="N22" s="37">
        <v>10</v>
      </c>
      <c r="O22" s="70" t="s">
        <v>376</v>
      </c>
      <c r="P22" s="38">
        <v>0.2132</v>
      </c>
      <c r="Q22" s="38">
        <f>P22*N22</f>
        <v>2.1320000000000001</v>
      </c>
      <c r="R22" s="37"/>
      <c r="S22" s="59"/>
    </row>
    <row r="23" spans="1:19" ht="24" x14ac:dyDescent="0.25">
      <c r="A23" s="1"/>
      <c r="B23" s="47">
        <f t="shared" si="0"/>
        <v>14</v>
      </c>
      <c r="C23" s="54" t="s">
        <v>11</v>
      </c>
      <c r="D23" s="51" t="s">
        <v>41</v>
      </c>
      <c r="E23" s="51" t="s">
        <v>104</v>
      </c>
      <c r="F23" s="51" t="s">
        <v>161</v>
      </c>
      <c r="G23" s="51" t="s">
        <v>203</v>
      </c>
      <c r="H23" s="51" t="s">
        <v>253</v>
      </c>
      <c r="I23" s="51" t="s">
        <v>373</v>
      </c>
      <c r="J23" s="51" t="s">
        <v>295</v>
      </c>
      <c r="K23" s="37" t="s">
        <v>373</v>
      </c>
      <c r="L23" s="51">
        <v>1</v>
      </c>
      <c r="M23" s="51">
        <f t="shared" ref="M23" si="13">L23*5</f>
        <v>5</v>
      </c>
      <c r="N23" s="51">
        <v>10</v>
      </c>
      <c r="O23" s="73" t="s">
        <v>376</v>
      </c>
      <c r="P23" s="52">
        <v>4.4600000000000001E-2</v>
      </c>
      <c r="Q23" s="52">
        <f t="shared" ref="Q23" si="14">P23*N23</f>
        <v>0.44600000000000001</v>
      </c>
      <c r="R23" s="51"/>
      <c r="S23" s="59"/>
    </row>
    <row r="24" spans="1:19" x14ac:dyDescent="0.25">
      <c r="A24" s="1"/>
      <c r="B24" s="46">
        <f>ROW(B24) - ROW($B$9)</f>
        <v>15</v>
      </c>
      <c r="C24" s="53" t="s">
        <v>11</v>
      </c>
      <c r="D24" s="37" t="s">
        <v>42</v>
      </c>
      <c r="E24" s="37" t="s">
        <v>105</v>
      </c>
      <c r="F24" s="37" t="s">
        <v>162</v>
      </c>
      <c r="G24" s="37" t="s">
        <v>204</v>
      </c>
      <c r="H24" s="37" t="s">
        <v>254</v>
      </c>
      <c r="I24" s="37" t="s">
        <v>373</v>
      </c>
      <c r="J24" s="37" t="s">
        <v>296</v>
      </c>
      <c r="K24" s="51" t="s">
        <v>373</v>
      </c>
      <c r="L24" s="37">
        <v>2</v>
      </c>
      <c r="M24" s="37">
        <f>L24*5</f>
        <v>10</v>
      </c>
      <c r="N24" s="37">
        <v>20</v>
      </c>
      <c r="O24" s="73" t="s">
        <v>376</v>
      </c>
      <c r="P24" s="38">
        <v>9.1000000000000004E-3</v>
      </c>
      <c r="Q24" s="38">
        <f>P24*N24</f>
        <v>0.182</v>
      </c>
      <c r="R24" s="37"/>
      <c r="S24" s="59"/>
    </row>
    <row r="25" spans="1:19" ht="24" x14ac:dyDescent="0.25">
      <c r="A25" s="1"/>
      <c r="B25" s="47">
        <f t="shared" si="0"/>
        <v>16</v>
      </c>
      <c r="C25" s="54" t="s">
        <v>12</v>
      </c>
      <c r="D25" s="51" t="s">
        <v>43</v>
      </c>
      <c r="E25" s="51" t="s">
        <v>106</v>
      </c>
      <c r="F25" s="51" t="s">
        <v>162</v>
      </c>
      <c r="G25" s="51" t="s">
        <v>205</v>
      </c>
      <c r="H25" s="51" t="s">
        <v>255</v>
      </c>
      <c r="I25" s="51" t="s">
        <v>373</v>
      </c>
      <c r="J25" s="51" t="s">
        <v>297</v>
      </c>
      <c r="K25" s="37" t="s">
        <v>373</v>
      </c>
      <c r="L25" s="51">
        <v>1</v>
      </c>
      <c r="M25" s="51">
        <f t="shared" ref="M25" si="15">L25*5</f>
        <v>5</v>
      </c>
      <c r="N25" s="51">
        <v>10</v>
      </c>
      <c r="O25" s="73" t="s">
        <v>376</v>
      </c>
      <c r="P25" s="52">
        <v>3.4200000000000001E-2</v>
      </c>
      <c r="Q25" s="52">
        <f t="shared" ref="Q25" si="16">P25*N25</f>
        <v>0.34200000000000003</v>
      </c>
      <c r="R25" s="51"/>
      <c r="S25" s="59"/>
    </row>
    <row r="26" spans="1:19" x14ac:dyDescent="0.25">
      <c r="A26" s="1"/>
      <c r="B26" s="46">
        <f>ROW(B26) - ROW($B$9)</f>
        <v>17</v>
      </c>
      <c r="C26" s="53" t="s">
        <v>11</v>
      </c>
      <c r="D26" s="37" t="s">
        <v>44</v>
      </c>
      <c r="E26" s="37" t="s">
        <v>107</v>
      </c>
      <c r="F26" s="37" t="s">
        <v>163</v>
      </c>
      <c r="G26" s="37" t="s">
        <v>206</v>
      </c>
      <c r="H26" s="37" t="s">
        <v>256</v>
      </c>
      <c r="I26" s="37" t="s">
        <v>373</v>
      </c>
      <c r="J26" s="37" t="s">
        <v>298</v>
      </c>
      <c r="K26" s="51" t="s">
        <v>373</v>
      </c>
      <c r="L26" s="37">
        <v>1</v>
      </c>
      <c r="M26" s="37">
        <f>L26*5</f>
        <v>5</v>
      </c>
      <c r="N26" s="37">
        <v>10</v>
      </c>
      <c r="O26" s="73" t="s">
        <v>376</v>
      </c>
      <c r="P26" s="38">
        <v>7.7499999999999999E-2</v>
      </c>
      <c r="Q26" s="38">
        <f>P26*N26</f>
        <v>0.77500000000000002</v>
      </c>
      <c r="R26" s="37"/>
      <c r="S26" s="59"/>
    </row>
    <row r="27" spans="1:19" x14ac:dyDescent="0.25">
      <c r="A27" s="1"/>
      <c r="B27" s="47">
        <f t="shared" si="0"/>
        <v>18</v>
      </c>
      <c r="C27" s="54" t="s">
        <v>11</v>
      </c>
      <c r="D27" s="51" t="s">
        <v>45</v>
      </c>
      <c r="E27" s="51" t="s">
        <v>108</v>
      </c>
      <c r="F27" s="51" t="s">
        <v>164</v>
      </c>
      <c r="G27" s="51" t="s">
        <v>207</v>
      </c>
      <c r="H27" s="51" t="s">
        <v>257</v>
      </c>
      <c r="I27" s="51" t="s">
        <v>373</v>
      </c>
      <c r="J27" s="51" t="s">
        <v>299</v>
      </c>
      <c r="K27" s="37" t="s">
        <v>373</v>
      </c>
      <c r="L27" s="51">
        <v>1</v>
      </c>
      <c r="M27" s="51">
        <f t="shared" ref="M27" si="17">L27*5</f>
        <v>5</v>
      </c>
      <c r="N27" s="51">
        <v>10</v>
      </c>
      <c r="O27" s="73" t="s">
        <v>376</v>
      </c>
      <c r="P27" s="52">
        <v>5.4399999999999997E-2</v>
      </c>
      <c r="Q27" s="52">
        <f t="shared" ref="Q27" si="18">P27*N27</f>
        <v>0.54399999999999993</v>
      </c>
      <c r="R27" s="51"/>
      <c r="S27" s="59"/>
    </row>
    <row r="28" spans="1:19" ht="24" x14ac:dyDescent="0.25">
      <c r="A28" s="1"/>
      <c r="B28" s="46">
        <f>ROW(B28) - ROW($B$9)</f>
        <v>19</v>
      </c>
      <c r="C28" s="53" t="s">
        <v>11</v>
      </c>
      <c r="D28" s="37" t="s">
        <v>46</v>
      </c>
      <c r="E28" s="37" t="s">
        <v>109</v>
      </c>
      <c r="F28" s="37" t="s">
        <v>165</v>
      </c>
      <c r="G28" s="37" t="s">
        <v>208</v>
      </c>
      <c r="H28" s="37" t="s">
        <v>258</v>
      </c>
      <c r="I28" s="37" t="s">
        <v>373</v>
      </c>
      <c r="J28" s="37" t="s">
        <v>300</v>
      </c>
      <c r="K28" s="37" t="s">
        <v>373</v>
      </c>
      <c r="L28" s="37">
        <v>1</v>
      </c>
      <c r="M28" s="37">
        <f>L28*5</f>
        <v>5</v>
      </c>
      <c r="N28" s="37">
        <v>10</v>
      </c>
      <c r="O28" s="73" t="s">
        <v>376</v>
      </c>
      <c r="P28" s="38">
        <v>8.6400000000000005E-2</v>
      </c>
      <c r="Q28" s="38">
        <f>P28*N28</f>
        <v>0.8640000000000001</v>
      </c>
      <c r="R28" s="37"/>
      <c r="S28" s="59"/>
    </row>
    <row r="29" spans="1:19" ht="24" x14ac:dyDescent="0.25">
      <c r="A29" s="1"/>
      <c r="B29" s="47">
        <f t="shared" si="0"/>
        <v>20</v>
      </c>
      <c r="C29" s="54" t="s">
        <v>11</v>
      </c>
      <c r="D29" s="51" t="s">
        <v>47</v>
      </c>
      <c r="E29" s="51" t="s">
        <v>110</v>
      </c>
      <c r="F29" s="51" t="s">
        <v>166</v>
      </c>
      <c r="G29" s="51" t="s">
        <v>209</v>
      </c>
      <c r="H29" s="51" t="s">
        <v>259</v>
      </c>
      <c r="I29" s="51" t="s">
        <v>373</v>
      </c>
      <c r="J29" s="51" t="s">
        <v>301</v>
      </c>
      <c r="K29" s="51" t="s">
        <v>373</v>
      </c>
      <c r="L29" s="51">
        <v>2</v>
      </c>
      <c r="M29" s="51">
        <f t="shared" ref="M29" si="19">L29*5</f>
        <v>10</v>
      </c>
      <c r="N29" s="51">
        <v>20</v>
      </c>
      <c r="O29" s="73" t="s">
        <v>376</v>
      </c>
      <c r="P29" s="52">
        <v>3.1699999999999999E-2</v>
      </c>
      <c r="Q29" s="52">
        <f t="shared" ref="Q29" si="20">P29*N29</f>
        <v>0.63400000000000001</v>
      </c>
      <c r="R29" s="51"/>
      <c r="S29" s="59"/>
    </row>
    <row r="30" spans="1:19" x14ac:dyDescent="0.25">
      <c r="A30" s="1"/>
      <c r="B30" s="46">
        <f>ROW(B30) - ROW($B$9)</f>
        <v>21</v>
      </c>
      <c r="C30" s="53" t="s">
        <v>11</v>
      </c>
      <c r="D30" s="37" t="s">
        <v>48</v>
      </c>
      <c r="E30" s="37" t="s">
        <v>111</v>
      </c>
      <c r="F30" s="37" t="s">
        <v>167</v>
      </c>
      <c r="G30" s="37" t="s">
        <v>210</v>
      </c>
      <c r="H30" s="37" t="s">
        <v>260</v>
      </c>
      <c r="I30" s="37"/>
      <c r="J30" s="37" t="s">
        <v>302</v>
      </c>
      <c r="K30" s="37" t="s">
        <v>373</v>
      </c>
      <c r="L30" s="37">
        <v>3</v>
      </c>
      <c r="M30" s="37">
        <f>L30*5</f>
        <v>15</v>
      </c>
      <c r="N30" s="37">
        <v>20</v>
      </c>
      <c r="O30" s="73" t="s">
        <v>376</v>
      </c>
      <c r="P30" s="38">
        <v>0.1351</v>
      </c>
      <c r="Q30" s="38">
        <f>P30*N30</f>
        <v>2.702</v>
      </c>
      <c r="R30" s="37"/>
      <c r="S30" s="59"/>
    </row>
    <row r="31" spans="1:19" x14ac:dyDescent="0.25">
      <c r="A31" s="1"/>
      <c r="B31" s="47">
        <f t="shared" si="0"/>
        <v>22</v>
      </c>
      <c r="C31" s="54" t="s">
        <v>11</v>
      </c>
      <c r="D31" s="51" t="s">
        <v>49</v>
      </c>
      <c r="E31" s="51" t="s">
        <v>112</v>
      </c>
      <c r="F31" s="51" t="s">
        <v>161</v>
      </c>
      <c r="G31" s="51" t="s">
        <v>211</v>
      </c>
      <c r="H31" s="51" t="s">
        <v>261</v>
      </c>
      <c r="I31" s="51" t="s">
        <v>373</v>
      </c>
      <c r="J31" s="51" t="s">
        <v>303</v>
      </c>
      <c r="K31" s="51" t="s">
        <v>373</v>
      </c>
      <c r="L31" s="51">
        <v>2</v>
      </c>
      <c r="M31" s="51">
        <f t="shared" ref="M31" si="21">L31*5</f>
        <v>10</v>
      </c>
      <c r="N31" s="51">
        <v>20</v>
      </c>
      <c r="O31" s="73" t="s">
        <v>376</v>
      </c>
      <c r="P31" s="52">
        <v>4.7500000000000001E-2</v>
      </c>
      <c r="Q31" s="52">
        <f t="shared" ref="Q31" si="22">P31*N31</f>
        <v>0.95</v>
      </c>
      <c r="R31" s="51"/>
      <c r="S31" s="59"/>
    </row>
    <row r="32" spans="1:19" ht="24" x14ac:dyDescent="0.25">
      <c r="A32" s="1"/>
      <c r="B32" s="46">
        <f>ROW(B32) - ROW($B$9)</f>
        <v>23</v>
      </c>
      <c r="C32" s="53" t="s">
        <v>13</v>
      </c>
      <c r="D32" s="37" t="s">
        <v>50</v>
      </c>
      <c r="E32" s="37" t="s">
        <v>113</v>
      </c>
      <c r="F32" s="37" t="s">
        <v>168</v>
      </c>
      <c r="G32" s="37" t="s">
        <v>212</v>
      </c>
      <c r="H32" s="37" t="s">
        <v>262</v>
      </c>
      <c r="I32" s="37" t="s">
        <v>373</v>
      </c>
      <c r="J32" s="37" t="s">
        <v>304</v>
      </c>
      <c r="K32" s="37" t="s">
        <v>373</v>
      </c>
      <c r="L32" s="37">
        <v>1</v>
      </c>
      <c r="M32" s="37">
        <f>L32*5</f>
        <v>5</v>
      </c>
      <c r="N32" s="37">
        <v>10</v>
      </c>
      <c r="O32" s="73" t="s">
        <v>376</v>
      </c>
      <c r="P32" s="38">
        <v>6.83E-2</v>
      </c>
      <c r="Q32" s="38">
        <f>P32*N32</f>
        <v>0.68300000000000005</v>
      </c>
      <c r="R32" s="37"/>
      <c r="S32" s="59"/>
    </row>
    <row r="33" spans="1:19" ht="24" x14ac:dyDescent="0.25">
      <c r="A33" s="1"/>
      <c r="B33" s="47">
        <f t="shared" si="0"/>
        <v>24</v>
      </c>
      <c r="C33" s="54" t="s">
        <v>13</v>
      </c>
      <c r="D33" s="51" t="s">
        <v>51</v>
      </c>
      <c r="E33" s="51" t="s">
        <v>114</v>
      </c>
      <c r="F33" s="51" t="s">
        <v>169</v>
      </c>
      <c r="G33" s="51" t="s">
        <v>213</v>
      </c>
      <c r="H33" s="51" t="s">
        <v>263</v>
      </c>
      <c r="I33" s="51" t="s">
        <v>373</v>
      </c>
      <c r="J33" s="51" t="s">
        <v>305</v>
      </c>
      <c r="K33" s="37" t="s">
        <v>373</v>
      </c>
      <c r="L33" s="51">
        <v>1</v>
      </c>
      <c r="M33" s="51">
        <f t="shared" ref="M33" si="23">L33*5</f>
        <v>5</v>
      </c>
      <c r="N33" s="51">
        <v>10</v>
      </c>
      <c r="O33" s="73" t="s">
        <v>376</v>
      </c>
      <c r="P33" s="52">
        <v>4.5100000000000001E-2</v>
      </c>
      <c r="Q33" s="52">
        <f t="shared" ref="Q33" si="24">P33*N33</f>
        <v>0.45100000000000001</v>
      </c>
      <c r="R33" s="51"/>
      <c r="S33" s="59"/>
    </row>
    <row r="34" spans="1:19" ht="24" x14ac:dyDescent="0.25">
      <c r="A34" s="1"/>
      <c r="B34" s="46">
        <f>ROW(B34) - ROW($B$9)</f>
        <v>25</v>
      </c>
      <c r="C34" s="53" t="s">
        <v>13</v>
      </c>
      <c r="D34" s="37" t="s">
        <v>52</v>
      </c>
      <c r="E34" s="37" t="s">
        <v>115</v>
      </c>
      <c r="F34" s="37" t="s">
        <v>170</v>
      </c>
      <c r="G34" s="37" t="s">
        <v>214</v>
      </c>
      <c r="H34" s="37" t="s">
        <v>264</v>
      </c>
      <c r="I34" s="37" t="s">
        <v>373</v>
      </c>
      <c r="J34" s="37" t="s">
        <v>306</v>
      </c>
      <c r="K34" s="51" t="s">
        <v>373</v>
      </c>
      <c r="L34" s="37">
        <v>2</v>
      </c>
      <c r="M34" s="37">
        <f>L34*5</f>
        <v>10</v>
      </c>
      <c r="N34" s="37">
        <v>20</v>
      </c>
      <c r="O34" s="73" t="s">
        <v>376</v>
      </c>
      <c r="P34" s="38">
        <v>5.8999999999999997E-2</v>
      </c>
      <c r="Q34" s="38">
        <f>P34*N34</f>
        <v>1.18</v>
      </c>
      <c r="R34" s="37"/>
      <c r="S34" s="59"/>
    </row>
    <row r="35" spans="1:19" ht="48" x14ac:dyDescent="0.25">
      <c r="A35" s="1"/>
      <c r="B35" s="47">
        <f t="shared" si="0"/>
        <v>26</v>
      </c>
      <c r="C35" s="54" t="s">
        <v>14</v>
      </c>
      <c r="D35" s="51" t="s">
        <v>53</v>
      </c>
      <c r="E35" s="51" t="s">
        <v>116</v>
      </c>
      <c r="F35" s="51" t="s">
        <v>374</v>
      </c>
      <c r="G35" s="51" t="s">
        <v>171</v>
      </c>
      <c r="H35" s="51" t="s">
        <v>265</v>
      </c>
      <c r="I35" s="51" t="s">
        <v>373</v>
      </c>
      <c r="J35" s="51" t="s">
        <v>307</v>
      </c>
      <c r="K35" s="37" t="s">
        <v>373</v>
      </c>
      <c r="L35" s="51">
        <v>1</v>
      </c>
      <c r="M35" s="51">
        <f t="shared" ref="M35" si="25">L35*5</f>
        <v>5</v>
      </c>
      <c r="N35" s="51">
        <v>10</v>
      </c>
      <c r="O35" s="73" t="s">
        <v>376</v>
      </c>
      <c r="P35" s="52">
        <v>0.1769</v>
      </c>
      <c r="Q35" s="52">
        <f t="shared" ref="Q35" si="26">P35*N35</f>
        <v>1.7690000000000001</v>
      </c>
      <c r="R35" s="51"/>
      <c r="S35" s="59"/>
    </row>
    <row r="36" spans="1:19" ht="48" x14ac:dyDescent="0.25">
      <c r="A36" s="1"/>
      <c r="B36" s="46">
        <f>ROW(B36) - ROW($B$9)</f>
        <v>27</v>
      </c>
      <c r="C36" s="53" t="s">
        <v>14</v>
      </c>
      <c r="D36" s="37" t="s">
        <v>54</v>
      </c>
      <c r="E36" s="37" t="s">
        <v>117</v>
      </c>
      <c r="F36" s="37" t="s">
        <v>374</v>
      </c>
      <c r="G36" s="37" t="s">
        <v>172</v>
      </c>
      <c r="H36" s="37" t="s">
        <v>265</v>
      </c>
      <c r="I36" s="37" t="s">
        <v>373</v>
      </c>
      <c r="J36" s="37" t="s">
        <v>308</v>
      </c>
      <c r="K36" s="51" t="s">
        <v>373</v>
      </c>
      <c r="L36" s="37">
        <v>5</v>
      </c>
      <c r="M36" s="37">
        <f>L36*5</f>
        <v>25</v>
      </c>
      <c r="N36" s="37">
        <v>30</v>
      </c>
      <c r="O36" s="73" t="s">
        <v>376</v>
      </c>
      <c r="P36" s="38">
        <v>0.21840000000000001</v>
      </c>
      <c r="Q36" s="38">
        <f>P36*N36</f>
        <v>6.5520000000000005</v>
      </c>
      <c r="R36" s="37"/>
      <c r="S36" s="59"/>
    </row>
    <row r="37" spans="1:19" x14ac:dyDescent="0.25">
      <c r="A37" s="1"/>
      <c r="B37" s="47">
        <f t="shared" si="0"/>
        <v>28</v>
      </c>
      <c r="C37" s="53" t="s">
        <v>15</v>
      </c>
      <c r="D37" s="51" t="s">
        <v>55</v>
      </c>
      <c r="E37" s="51" t="s">
        <v>118</v>
      </c>
      <c r="F37" s="51" t="s">
        <v>374</v>
      </c>
      <c r="G37" s="51" t="s">
        <v>215</v>
      </c>
      <c r="H37" s="51" t="s">
        <v>266</v>
      </c>
      <c r="I37" s="51" t="s">
        <v>373</v>
      </c>
      <c r="J37" s="51" t="s">
        <v>384</v>
      </c>
      <c r="K37" s="37" t="s">
        <v>373</v>
      </c>
      <c r="L37" s="51">
        <v>1</v>
      </c>
      <c r="M37" s="51">
        <f t="shared" ref="M37" si="27">L37*5</f>
        <v>5</v>
      </c>
      <c r="N37" s="51">
        <v>10</v>
      </c>
      <c r="O37" s="73" t="s">
        <v>376</v>
      </c>
      <c r="P37" s="52">
        <v>0.3211</v>
      </c>
      <c r="Q37" s="52">
        <f t="shared" ref="Q37" si="28">P37*N37</f>
        <v>3.2109999999999999</v>
      </c>
      <c r="R37" s="51"/>
      <c r="S37" s="59"/>
    </row>
    <row r="38" spans="1:19" ht="24" x14ac:dyDescent="0.25">
      <c r="A38" s="1"/>
      <c r="B38" s="46">
        <f>ROW(B38) - ROW($B$9)</f>
        <v>29</v>
      </c>
      <c r="C38" s="53" t="s">
        <v>15</v>
      </c>
      <c r="D38" s="37" t="s">
        <v>56</v>
      </c>
      <c r="E38" s="37" t="s">
        <v>119</v>
      </c>
      <c r="F38" s="37" t="s">
        <v>374</v>
      </c>
      <c r="G38" s="37" t="s">
        <v>216</v>
      </c>
      <c r="H38" s="37" t="s">
        <v>267</v>
      </c>
      <c r="I38" s="37" t="s">
        <v>373</v>
      </c>
      <c r="J38" s="37" t="s">
        <v>216</v>
      </c>
      <c r="K38" s="37" t="s">
        <v>373</v>
      </c>
      <c r="L38" s="37">
        <v>1</v>
      </c>
      <c r="M38" s="37">
        <f>L38*5</f>
        <v>5</v>
      </c>
      <c r="N38" s="37">
        <v>12</v>
      </c>
      <c r="O38" s="73" t="s">
        <v>376</v>
      </c>
      <c r="P38" s="38">
        <v>7.0400000000000004E-2</v>
      </c>
      <c r="Q38" s="38">
        <f>P38*N38</f>
        <v>0.8448</v>
      </c>
      <c r="R38" s="37"/>
      <c r="S38" s="59"/>
    </row>
    <row r="39" spans="1:19" x14ac:dyDescent="0.25">
      <c r="A39" s="1"/>
      <c r="B39" s="47">
        <f t="shared" si="0"/>
        <v>30</v>
      </c>
      <c r="C39" s="54" t="s">
        <v>16</v>
      </c>
      <c r="D39" s="85" t="s">
        <v>57</v>
      </c>
      <c r="E39" s="85" t="s">
        <v>120</v>
      </c>
      <c r="F39" s="74" t="s">
        <v>374</v>
      </c>
      <c r="G39" s="85" t="s">
        <v>217</v>
      </c>
      <c r="H39" s="74" t="s">
        <v>373</v>
      </c>
      <c r="I39" s="74" t="s">
        <v>373</v>
      </c>
      <c r="J39" s="74" t="s">
        <v>373</v>
      </c>
      <c r="K39" s="85" t="s">
        <v>373</v>
      </c>
      <c r="L39" s="85">
        <v>2</v>
      </c>
      <c r="M39" s="85">
        <f t="shared" ref="M39" si="29">L39*5</f>
        <v>10</v>
      </c>
      <c r="N39" s="85" t="s">
        <v>373</v>
      </c>
      <c r="O39" s="85" t="s">
        <v>373</v>
      </c>
      <c r="P39" s="86" t="s">
        <v>373</v>
      </c>
      <c r="Q39" s="86" t="s">
        <v>373</v>
      </c>
      <c r="R39" s="88" t="s">
        <v>388</v>
      </c>
      <c r="S39" s="59"/>
    </row>
    <row r="40" spans="1:19" ht="36" x14ac:dyDescent="0.25">
      <c r="A40" s="1"/>
      <c r="B40" s="46">
        <f>ROW(B40) - ROW($B$9)</f>
        <v>31</v>
      </c>
      <c r="C40" s="53" t="s">
        <v>17</v>
      </c>
      <c r="D40" s="37" t="s">
        <v>58</v>
      </c>
      <c r="E40" s="37" t="s">
        <v>121</v>
      </c>
      <c r="F40" s="37" t="s">
        <v>374</v>
      </c>
      <c r="G40" s="37" t="s">
        <v>218</v>
      </c>
      <c r="H40" s="37" t="s">
        <v>268</v>
      </c>
      <c r="I40" s="37" t="s">
        <v>373</v>
      </c>
      <c r="J40" s="37" t="s">
        <v>309</v>
      </c>
      <c r="K40" s="37" t="s">
        <v>373</v>
      </c>
      <c r="L40" s="37">
        <v>1</v>
      </c>
      <c r="M40" s="37">
        <f>L40*5</f>
        <v>5</v>
      </c>
      <c r="N40" s="51">
        <v>6</v>
      </c>
      <c r="O40" s="70" t="s">
        <v>376</v>
      </c>
      <c r="P40" s="52">
        <v>0.92279999999999995</v>
      </c>
      <c r="Q40" s="38">
        <f>P40*N40</f>
        <v>5.5367999999999995</v>
      </c>
      <c r="R40" s="37"/>
      <c r="S40" s="59"/>
    </row>
    <row r="41" spans="1:19" ht="48" x14ac:dyDescent="0.25">
      <c r="A41" s="1"/>
      <c r="B41" s="47">
        <f t="shared" si="0"/>
        <v>32</v>
      </c>
      <c r="C41" s="54" t="s">
        <v>18</v>
      </c>
      <c r="D41" s="51" t="s">
        <v>59</v>
      </c>
      <c r="E41" s="51" t="s">
        <v>122</v>
      </c>
      <c r="F41" s="37" t="s">
        <v>374</v>
      </c>
      <c r="G41" s="51" t="s">
        <v>173</v>
      </c>
      <c r="H41" s="51" t="s">
        <v>269</v>
      </c>
      <c r="I41" s="51" t="s">
        <v>373</v>
      </c>
      <c r="J41" s="51" t="s">
        <v>310</v>
      </c>
      <c r="K41" s="51" t="s">
        <v>373</v>
      </c>
      <c r="L41" s="51">
        <v>1</v>
      </c>
      <c r="M41" s="51">
        <f t="shared" ref="M41" si="30">L41*5</f>
        <v>5</v>
      </c>
      <c r="N41" s="51">
        <v>6</v>
      </c>
      <c r="O41" s="73" t="s">
        <v>376</v>
      </c>
      <c r="P41" s="52">
        <v>0.67300000000000004</v>
      </c>
      <c r="Q41" s="52">
        <f t="shared" ref="Q41" si="31">P41*N41</f>
        <v>4.0380000000000003</v>
      </c>
      <c r="R41" s="51"/>
      <c r="S41" s="59"/>
    </row>
    <row r="42" spans="1:19" s="84" customFormat="1" x14ac:dyDescent="0.25">
      <c r="A42" s="75"/>
      <c r="B42" s="76">
        <f>ROW(B42) - ROW($B$9)</f>
        <v>33</v>
      </c>
      <c r="C42" s="77" t="s">
        <v>19</v>
      </c>
      <c r="D42" s="78" t="s">
        <v>60</v>
      </c>
      <c r="E42" s="78" t="s">
        <v>123</v>
      </c>
      <c r="F42" s="78" t="s">
        <v>374</v>
      </c>
      <c r="G42" s="78" t="s">
        <v>174</v>
      </c>
      <c r="H42" s="78" t="s">
        <v>270</v>
      </c>
      <c r="I42" s="79" t="s">
        <v>373</v>
      </c>
      <c r="J42" s="79" t="s">
        <v>373</v>
      </c>
      <c r="K42" s="79" t="s">
        <v>373</v>
      </c>
      <c r="L42" s="78">
        <v>1</v>
      </c>
      <c r="M42" s="78">
        <f>L42*5</f>
        <v>5</v>
      </c>
      <c r="N42" s="78">
        <v>6</v>
      </c>
      <c r="O42" s="80" t="s">
        <v>385</v>
      </c>
      <c r="P42" s="81">
        <v>1.01</v>
      </c>
      <c r="Q42" s="82">
        <f>P42*N42</f>
        <v>6.0600000000000005</v>
      </c>
      <c r="R42" s="78"/>
      <c r="S42" s="83"/>
    </row>
    <row r="43" spans="1:19" x14ac:dyDescent="0.25">
      <c r="A43" s="1"/>
      <c r="B43" s="47">
        <f t="shared" si="0"/>
        <v>34</v>
      </c>
      <c r="C43" s="53" t="s">
        <v>20</v>
      </c>
      <c r="D43" s="51" t="s">
        <v>61</v>
      </c>
      <c r="E43" s="51" t="s">
        <v>124</v>
      </c>
      <c r="F43" s="37" t="s">
        <v>374</v>
      </c>
      <c r="G43" s="51" t="s">
        <v>219</v>
      </c>
      <c r="H43" s="51" t="s">
        <v>271</v>
      </c>
      <c r="I43" s="51" t="s">
        <v>373</v>
      </c>
      <c r="J43" s="51" t="s">
        <v>311</v>
      </c>
      <c r="K43" s="51" t="s">
        <v>346</v>
      </c>
      <c r="L43" s="51">
        <v>1</v>
      </c>
      <c r="M43" s="51">
        <f t="shared" ref="M43" si="32">L43*5</f>
        <v>5</v>
      </c>
      <c r="N43" s="51">
        <v>6</v>
      </c>
      <c r="O43" s="73" t="s">
        <v>376</v>
      </c>
      <c r="P43" s="52">
        <v>0.49009999999999998</v>
      </c>
      <c r="Q43" s="52">
        <f t="shared" ref="Q43" si="33">P43*N43</f>
        <v>2.9405999999999999</v>
      </c>
      <c r="R43" s="51"/>
      <c r="S43" s="59"/>
    </row>
    <row r="44" spans="1:19" ht="24" x14ac:dyDescent="0.25">
      <c r="A44" s="1"/>
      <c r="B44" s="46">
        <f>ROW(B44) - ROW($B$9)</f>
        <v>35</v>
      </c>
      <c r="C44" s="53" t="s">
        <v>20</v>
      </c>
      <c r="D44" s="37" t="s">
        <v>62</v>
      </c>
      <c r="E44" s="37" t="s">
        <v>125</v>
      </c>
      <c r="F44" s="37" t="s">
        <v>374</v>
      </c>
      <c r="G44" s="37" t="s">
        <v>220</v>
      </c>
      <c r="H44" s="37" t="s">
        <v>272</v>
      </c>
      <c r="I44" s="37" t="s">
        <v>373</v>
      </c>
      <c r="J44" s="37" t="s">
        <v>312</v>
      </c>
      <c r="K44" s="37" t="s">
        <v>347</v>
      </c>
      <c r="L44" s="37">
        <v>1</v>
      </c>
      <c r="M44" s="37">
        <f>L44*5</f>
        <v>5</v>
      </c>
      <c r="N44" s="37">
        <v>10</v>
      </c>
      <c r="O44" s="73" t="s">
        <v>376</v>
      </c>
      <c r="P44" s="38">
        <v>8.5300000000000001E-2</v>
      </c>
      <c r="Q44" s="38">
        <f>P44*N44</f>
        <v>0.85299999999999998</v>
      </c>
      <c r="R44" s="37"/>
      <c r="S44" s="59"/>
    </row>
    <row r="45" spans="1:19" x14ac:dyDescent="0.25">
      <c r="A45" s="1"/>
      <c r="B45" s="47">
        <f t="shared" si="0"/>
        <v>36</v>
      </c>
      <c r="C45" s="53" t="s">
        <v>20</v>
      </c>
      <c r="D45" s="51" t="s">
        <v>63</v>
      </c>
      <c r="E45" s="51" t="s">
        <v>126</v>
      </c>
      <c r="F45" s="51" t="s">
        <v>175</v>
      </c>
      <c r="G45" s="51" t="s">
        <v>221</v>
      </c>
      <c r="H45" s="51" t="s">
        <v>273</v>
      </c>
      <c r="I45" s="51" t="s">
        <v>373</v>
      </c>
      <c r="J45" s="51" t="s">
        <v>313</v>
      </c>
      <c r="K45" s="51" t="s">
        <v>348</v>
      </c>
      <c r="L45" s="51">
        <v>1</v>
      </c>
      <c r="M45" s="51">
        <f t="shared" ref="M45" si="34">L45*5</f>
        <v>5</v>
      </c>
      <c r="N45" s="51">
        <v>50</v>
      </c>
      <c r="O45" s="73" t="s">
        <v>376</v>
      </c>
      <c r="P45" s="52">
        <v>8.3000000000000001E-3</v>
      </c>
      <c r="Q45" s="52">
        <f t="shared" ref="Q45" si="35">P45*N45</f>
        <v>0.41499999999999998</v>
      </c>
      <c r="R45" s="51"/>
      <c r="S45" s="59"/>
    </row>
    <row r="46" spans="1:19" ht="24" x14ac:dyDescent="0.25">
      <c r="A46" s="1"/>
      <c r="B46" s="46">
        <f>ROW(B46) - ROW($B$9)</f>
        <v>37</v>
      </c>
      <c r="C46" s="53" t="s">
        <v>21</v>
      </c>
      <c r="D46" s="37" t="s">
        <v>64</v>
      </c>
      <c r="E46" s="37" t="s">
        <v>127</v>
      </c>
      <c r="F46" s="37" t="s">
        <v>176</v>
      </c>
      <c r="G46" s="37" t="s">
        <v>222</v>
      </c>
      <c r="H46" s="37" t="s">
        <v>274</v>
      </c>
      <c r="I46" s="37" t="s">
        <v>373</v>
      </c>
      <c r="J46" s="37" t="s">
        <v>314</v>
      </c>
      <c r="K46" s="37" t="s">
        <v>373</v>
      </c>
      <c r="L46" s="37">
        <v>3</v>
      </c>
      <c r="M46" s="37">
        <f>L46*5</f>
        <v>15</v>
      </c>
      <c r="N46" s="51">
        <v>20</v>
      </c>
      <c r="O46" s="73" t="s">
        <v>376</v>
      </c>
      <c r="P46" s="52">
        <v>5.1499999999999997E-2</v>
      </c>
      <c r="Q46" s="38">
        <f>P46*N46</f>
        <v>1.03</v>
      </c>
      <c r="R46" s="37"/>
      <c r="S46" s="59"/>
    </row>
    <row r="47" spans="1:19" ht="24" x14ac:dyDescent="0.25">
      <c r="A47" s="1"/>
      <c r="B47" s="47">
        <f t="shared" si="0"/>
        <v>38</v>
      </c>
      <c r="C47" s="54" t="s">
        <v>21</v>
      </c>
      <c r="D47" s="51" t="s">
        <v>65</v>
      </c>
      <c r="E47" s="51" t="s">
        <v>128</v>
      </c>
      <c r="F47" s="51" t="s">
        <v>176</v>
      </c>
      <c r="G47" s="51" t="s">
        <v>223</v>
      </c>
      <c r="H47" s="51" t="s">
        <v>274</v>
      </c>
      <c r="I47" s="51" t="s">
        <v>373</v>
      </c>
      <c r="J47" s="51" t="s">
        <v>315</v>
      </c>
      <c r="K47" s="51" t="s">
        <v>373</v>
      </c>
      <c r="L47" s="51">
        <v>1</v>
      </c>
      <c r="M47" s="51">
        <f t="shared" ref="M47" si="36">L47*5</f>
        <v>5</v>
      </c>
      <c r="N47" s="51">
        <v>20</v>
      </c>
      <c r="O47" s="73" t="s">
        <v>376</v>
      </c>
      <c r="P47" s="52">
        <v>3.1300000000000001E-2</v>
      </c>
      <c r="Q47" s="52">
        <f t="shared" ref="Q47" si="37">P47*N47</f>
        <v>0.626</v>
      </c>
      <c r="R47" s="51"/>
      <c r="S47" s="59"/>
    </row>
    <row r="48" spans="1:19" x14ac:dyDescent="0.25">
      <c r="A48" s="1"/>
      <c r="B48" s="46">
        <f>ROW(B48) - ROW($B$9)</f>
        <v>39</v>
      </c>
      <c r="C48" s="53" t="s">
        <v>386</v>
      </c>
      <c r="D48" s="74" t="s">
        <v>66</v>
      </c>
      <c r="E48" s="74" t="s">
        <v>129</v>
      </c>
      <c r="F48" s="74" t="s">
        <v>374</v>
      </c>
      <c r="G48" s="74" t="s">
        <v>177</v>
      </c>
      <c r="H48" s="74" t="s">
        <v>373</v>
      </c>
      <c r="I48" s="74" t="s">
        <v>373</v>
      </c>
      <c r="J48" s="74" t="s">
        <v>373</v>
      </c>
      <c r="K48" s="74" t="s">
        <v>373</v>
      </c>
      <c r="L48" s="74">
        <v>4</v>
      </c>
      <c r="M48" s="74">
        <f>L48*5</f>
        <v>20</v>
      </c>
      <c r="N48" s="74"/>
      <c r="O48" s="85" t="s">
        <v>373</v>
      </c>
      <c r="P48" s="87" t="s">
        <v>373</v>
      </c>
      <c r="Q48" s="87" t="s">
        <v>373</v>
      </c>
      <c r="R48" s="88" t="s">
        <v>388</v>
      </c>
      <c r="S48" s="59"/>
    </row>
    <row r="49" spans="1:19" x14ac:dyDescent="0.25">
      <c r="A49" s="1"/>
      <c r="B49" s="47">
        <f t="shared" si="0"/>
        <v>40</v>
      </c>
      <c r="C49" s="54" t="s">
        <v>22</v>
      </c>
      <c r="D49" s="51" t="s">
        <v>67</v>
      </c>
      <c r="E49" s="51" t="s">
        <v>130</v>
      </c>
      <c r="F49" s="51" t="s">
        <v>178</v>
      </c>
      <c r="G49" s="51" t="s">
        <v>224</v>
      </c>
      <c r="H49" s="51" t="s">
        <v>254</v>
      </c>
      <c r="I49" s="51" t="s">
        <v>373</v>
      </c>
      <c r="J49" s="51" t="s">
        <v>316</v>
      </c>
      <c r="K49" s="51" t="s">
        <v>373</v>
      </c>
      <c r="L49" s="51">
        <v>6</v>
      </c>
      <c r="M49" s="51">
        <f t="shared" ref="M49" si="38">L49*5</f>
        <v>30</v>
      </c>
      <c r="N49" s="51">
        <v>40</v>
      </c>
      <c r="O49" s="73" t="s">
        <v>376</v>
      </c>
      <c r="P49" s="52">
        <v>2.1899999999999999E-2</v>
      </c>
      <c r="Q49" s="52">
        <f t="shared" ref="Q49" si="39">P49*N49</f>
        <v>0.876</v>
      </c>
      <c r="R49" s="51"/>
      <c r="S49" s="59"/>
    </row>
    <row r="50" spans="1:19" ht="36" x14ac:dyDescent="0.25">
      <c r="A50" s="1"/>
      <c r="B50" s="46">
        <f>ROW(B50) - ROW($B$9)</f>
        <v>41</v>
      </c>
      <c r="C50" s="53" t="s">
        <v>22</v>
      </c>
      <c r="D50" s="37" t="s">
        <v>68</v>
      </c>
      <c r="E50" s="37" t="s">
        <v>131</v>
      </c>
      <c r="F50" s="37" t="s">
        <v>165</v>
      </c>
      <c r="G50" s="37" t="s">
        <v>225</v>
      </c>
      <c r="H50" s="37" t="s">
        <v>258</v>
      </c>
      <c r="I50" s="37" t="s">
        <v>373</v>
      </c>
      <c r="J50" s="37" t="s">
        <v>317</v>
      </c>
      <c r="K50" s="37" t="s">
        <v>373</v>
      </c>
      <c r="L50" s="37">
        <v>1</v>
      </c>
      <c r="M50" s="37">
        <f>L50*5</f>
        <v>5</v>
      </c>
      <c r="N50" s="37">
        <v>10</v>
      </c>
      <c r="O50" s="73" t="s">
        <v>376</v>
      </c>
      <c r="P50" s="38">
        <v>3.1099999999999999E-2</v>
      </c>
      <c r="Q50" s="38">
        <f>P50*N50</f>
        <v>0.311</v>
      </c>
      <c r="R50" s="37"/>
      <c r="S50" s="59"/>
    </row>
    <row r="51" spans="1:19" x14ac:dyDescent="0.25">
      <c r="A51" s="1"/>
      <c r="B51" s="47">
        <f t="shared" si="0"/>
        <v>42</v>
      </c>
      <c r="C51" s="54" t="s">
        <v>23</v>
      </c>
      <c r="D51" s="51" t="s">
        <v>69</v>
      </c>
      <c r="E51" s="51" t="s">
        <v>132</v>
      </c>
      <c r="F51" s="51" t="s">
        <v>179</v>
      </c>
      <c r="G51" s="51" t="s">
        <v>226</v>
      </c>
      <c r="H51" s="51" t="s">
        <v>252</v>
      </c>
      <c r="I51" s="51" t="s">
        <v>373</v>
      </c>
      <c r="J51" s="51" t="s">
        <v>318</v>
      </c>
      <c r="K51" s="51" t="s">
        <v>349</v>
      </c>
      <c r="L51" s="51">
        <v>1</v>
      </c>
      <c r="M51" s="51">
        <f t="shared" ref="M51" si="40">L51*5</f>
        <v>5</v>
      </c>
      <c r="N51" s="51">
        <v>100</v>
      </c>
      <c r="O51" s="73" t="s">
        <v>376</v>
      </c>
      <c r="P51" s="52">
        <v>6.9999999999999999E-4</v>
      </c>
      <c r="Q51" s="52">
        <f t="shared" ref="Q51" si="41">P51*N51</f>
        <v>6.9999999999999993E-2</v>
      </c>
      <c r="R51" s="51"/>
      <c r="S51" s="59"/>
    </row>
    <row r="52" spans="1:19" x14ac:dyDescent="0.25">
      <c r="A52" s="1"/>
      <c r="B52" s="46">
        <f>ROW(B52) - ROW($B$9)</f>
        <v>43</v>
      </c>
      <c r="C52" s="54" t="s">
        <v>23</v>
      </c>
      <c r="D52" s="37" t="s">
        <v>70</v>
      </c>
      <c r="E52" s="37" t="s">
        <v>133</v>
      </c>
      <c r="F52" s="37" t="s">
        <v>180</v>
      </c>
      <c r="G52" s="74" t="s">
        <v>227</v>
      </c>
      <c r="H52" s="51" t="s">
        <v>252</v>
      </c>
      <c r="I52" s="51" t="s">
        <v>380</v>
      </c>
      <c r="J52" s="51" t="s">
        <v>381</v>
      </c>
      <c r="K52" s="51" t="s">
        <v>350</v>
      </c>
      <c r="L52" s="37">
        <v>2</v>
      </c>
      <c r="M52" s="37">
        <f>L52*5</f>
        <v>10</v>
      </c>
      <c r="N52" s="51">
        <v>100</v>
      </c>
      <c r="O52" s="73" t="s">
        <v>376</v>
      </c>
      <c r="P52" s="52">
        <v>5.0000000000000001E-4</v>
      </c>
      <c r="Q52" s="38">
        <f>P52*N52</f>
        <v>0.05</v>
      </c>
      <c r="R52" s="37"/>
      <c r="S52" s="59"/>
    </row>
    <row r="53" spans="1:19" x14ac:dyDescent="0.25">
      <c r="A53" s="1"/>
      <c r="B53" s="47">
        <f t="shared" si="0"/>
        <v>44</v>
      </c>
      <c r="C53" s="54" t="s">
        <v>23</v>
      </c>
      <c r="D53" s="51" t="s">
        <v>71</v>
      </c>
      <c r="E53" s="51" t="s">
        <v>134</v>
      </c>
      <c r="F53" s="51" t="s">
        <v>180</v>
      </c>
      <c r="G53" s="51" t="s">
        <v>228</v>
      </c>
      <c r="H53" s="51" t="s">
        <v>252</v>
      </c>
      <c r="I53" s="51" t="s">
        <v>373</v>
      </c>
      <c r="J53" s="51" t="s">
        <v>319</v>
      </c>
      <c r="K53" s="51" t="s">
        <v>351</v>
      </c>
      <c r="L53" s="51">
        <v>6</v>
      </c>
      <c r="M53" s="51">
        <f t="shared" ref="M53" si="42">L53*5</f>
        <v>30</v>
      </c>
      <c r="N53" s="51">
        <v>100</v>
      </c>
      <c r="O53" s="73" t="s">
        <v>376</v>
      </c>
      <c r="P53" s="52">
        <v>8.9999999999999998E-4</v>
      </c>
      <c r="Q53" s="52">
        <f t="shared" ref="Q53" si="43">P53*N53</f>
        <v>0.09</v>
      </c>
      <c r="R53" s="51"/>
      <c r="S53" s="59"/>
    </row>
    <row r="54" spans="1:19" x14ac:dyDescent="0.25">
      <c r="A54" s="1"/>
      <c r="B54" s="46">
        <f>ROW(B54) - ROW($B$9)</f>
        <v>45</v>
      </c>
      <c r="C54" s="54" t="s">
        <v>23</v>
      </c>
      <c r="D54" s="37" t="s">
        <v>72</v>
      </c>
      <c r="E54" s="37" t="s">
        <v>135</v>
      </c>
      <c r="F54" s="37" t="s">
        <v>179</v>
      </c>
      <c r="G54" s="37" t="s">
        <v>229</v>
      </c>
      <c r="H54" s="37" t="s">
        <v>252</v>
      </c>
      <c r="I54" s="37" t="s">
        <v>373</v>
      </c>
      <c r="J54" s="37" t="s">
        <v>320</v>
      </c>
      <c r="K54" s="37" t="s">
        <v>352</v>
      </c>
      <c r="L54" s="37">
        <v>1</v>
      </c>
      <c r="M54" s="37">
        <f>L54*5</f>
        <v>5</v>
      </c>
      <c r="N54" s="37">
        <v>100</v>
      </c>
      <c r="O54" s="73" t="s">
        <v>376</v>
      </c>
      <c r="P54" s="38">
        <v>5.9999999999999995E-4</v>
      </c>
      <c r="Q54" s="38">
        <f>P54*N54</f>
        <v>0.06</v>
      </c>
      <c r="R54" s="37"/>
      <c r="S54" s="59"/>
    </row>
    <row r="55" spans="1:19" ht="36" x14ac:dyDescent="0.25">
      <c r="A55" s="1"/>
      <c r="B55" s="47">
        <f t="shared" si="0"/>
        <v>46</v>
      </c>
      <c r="C55" s="54" t="s">
        <v>23</v>
      </c>
      <c r="D55" s="51" t="s">
        <v>73</v>
      </c>
      <c r="E55" s="51" t="s">
        <v>136</v>
      </c>
      <c r="F55" s="51" t="s">
        <v>179</v>
      </c>
      <c r="G55" s="51" t="s">
        <v>230</v>
      </c>
      <c r="H55" s="51" t="s">
        <v>252</v>
      </c>
      <c r="I55" s="51" t="s">
        <v>373</v>
      </c>
      <c r="J55" s="51" t="s">
        <v>321</v>
      </c>
      <c r="K55" s="51" t="s">
        <v>353</v>
      </c>
      <c r="L55" s="51">
        <v>17</v>
      </c>
      <c r="M55" s="51">
        <f t="shared" ref="M55" si="44">L55*5</f>
        <v>85</v>
      </c>
      <c r="N55" s="51">
        <v>100</v>
      </c>
      <c r="O55" s="73" t="s">
        <v>376</v>
      </c>
      <c r="P55" s="52">
        <v>6.9999999999999999E-4</v>
      </c>
      <c r="Q55" s="52">
        <f t="shared" ref="Q55" si="45">P55*N55</f>
        <v>6.9999999999999993E-2</v>
      </c>
      <c r="R55" s="51"/>
      <c r="S55" s="59"/>
    </row>
    <row r="56" spans="1:19" x14ac:dyDescent="0.25">
      <c r="A56" s="1"/>
      <c r="B56" s="46">
        <f>ROW(B56) - ROW($B$9)</f>
        <v>47</v>
      </c>
      <c r="C56" s="54" t="s">
        <v>23</v>
      </c>
      <c r="D56" s="37" t="s">
        <v>74</v>
      </c>
      <c r="E56" s="37" t="s">
        <v>137</v>
      </c>
      <c r="F56" s="37" t="s">
        <v>179</v>
      </c>
      <c r="G56" s="37" t="s">
        <v>231</v>
      </c>
      <c r="H56" s="37" t="s">
        <v>252</v>
      </c>
      <c r="I56" s="37" t="s">
        <v>373</v>
      </c>
      <c r="J56" s="37" t="s">
        <v>322</v>
      </c>
      <c r="K56" s="37" t="s">
        <v>354</v>
      </c>
      <c r="L56" s="37">
        <v>3</v>
      </c>
      <c r="M56" s="37">
        <f>L56*5</f>
        <v>15</v>
      </c>
      <c r="N56" s="37">
        <v>100</v>
      </c>
      <c r="O56" s="73" t="s">
        <v>376</v>
      </c>
      <c r="P56" s="38">
        <v>6.9999999999999999E-4</v>
      </c>
      <c r="Q56" s="38">
        <f>P56*N56</f>
        <v>6.9999999999999993E-2</v>
      </c>
      <c r="R56" s="37"/>
      <c r="S56" s="59"/>
    </row>
    <row r="57" spans="1:19" x14ac:dyDescent="0.25">
      <c r="A57" s="1"/>
      <c r="B57" s="47">
        <f t="shared" si="0"/>
        <v>48</v>
      </c>
      <c r="C57" s="54" t="s">
        <v>23</v>
      </c>
      <c r="D57" s="51" t="s">
        <v>75</v>
      </c>
      <c r="E57" s="51" t="s">
        <v>138</v>
      </c>
      <c r="F57" s="51" t="s">
        <v>179</v>
      </c>
      <c r="G57" s="51" t="s">
        <v>232</v>
      </c>
      <c r="H57" s="51" t="s">
        <v>252</v>
      </c>
      <c r="I57" s="51" t="s">
        <v>373</v>
      </c>
      <c r="J57" s="51" t="s">
        <v>323</v>
      </c>
      <c r="K57" s="51" t="s">
        <v>355</v>
      </c>
      <c r="L57" s="51">
        <v>1</v>
      </c>
      <c r="M57" s="51">
        <f t="shared" ref="M57" si="46">L57*5</f>
        <v>5</v>
      </c>
      <c r="N57" s="51">
        <v>100</v>
      </c>
      <c r="O57" s="73" t="s">
        <v>376</v>
      </c>
      <c r="P57" s="52">
        <v>5.9999999999999995E-4</v>
      </c>
      <c r="Q57" s="52">
        <f t="shared" ref="Q57" si="47">P57*N57</f>
        <v>0.06</v>
      </c>
      <c r="R57" s="51"/>
      <c r="S57" s="59"/>
    </row>
    <row r="58" spans="1:19" x14ac:dyDescent="0.25">
      <c r="A58" s="1"/>
      <c r="B58" s="46">
        <f>ROW(B58) - ROW($B$9)</f>
        <v>49</v>
      </c>
      <c r="C58" s="53" t="s">
        <v>23</v>
      </c>
      <c r="D58" s="37" t="s">
        <v>76</v>
      </c>
      <c r="E58" s="37" t="s">
        <v>139</v>
      </c>
      <c r="F58" s="37" t="s">
        <v>179</v>
      </c>
      <c r="G58" s="37" t="s">
        <v>233</v>
      </c>
      <c r="H58" s="37" t="s">
        <v>252</v>
      </c>
      <c r="I58" s="37" t="s">
        <v>373</v>
      </c>
      <c r="J58" s="37" t="s">
        <v>324</v>
      </c>
      <c r="K58" s="37" t="s">
        <v>356</v>
      </c>
      <c r="L58" s="37">
        <v>5</v>
      </c>
      <c r="M58" s="37">
        <f>L58*5</f>
        <v>25</v>
      </c>
      <c r="N58" s="37">
        <v>100</v>
      </c>
      <c r="O58" s="73" t="s">
        <v>376</v>
      </c>
      <c r="P58" s="38">
        <v>6.9999999999999999E-4</v>
      </c>
      <c r="Q58" s="38">
        <f>P58*N58</f>
        <v>6.9999999999999993E-2</v>
      </c>
      <c r="R58" s="37"/>
      <c r="S58" s="59"/>
    </row>
    <row r="59" spans="1:19" x14ac:dyDescent="0.25">
      <c r="A59" s="1"/>
      <c r="B59" s="47">
        <f t="shared" si="0"/>
        <v>50</v>
      </c>
      <c r="C59" s="53" t="s">
        <v>23</v>
      </c>
      <c r="D59" s="51" t="s">
        <v>77</v>
      </c>
      <c r="E59" s="51" t="s">
        <v>140</v>
      </c>
      <c r="F59" s="51" t="s">
        <v>179</v>
      </c>
      <c r="G59" s="74" t="s">
        <v>234</v>
      </c>
      <c r="H59" s="51" t="s">
        <v>275</v>
      </c>
      <c r="I59" s="51" t="s">
        <v>382</v>
      </c>
      <c r="J59" s="51" t="s">
        <v>383</v>
      </c>
      <c r="K59" s="51" t="s">
        <v>357</v>
      </c>
      <c r="L59" s="51">
        <v>4</v>
      </c>
      <c r="M59" s="51">
        <f t="shared" ref="M59" si="48">L59*5</f>
        <v>20</v>
      </c>
      <c r="N59" s="51">
        <v>100</v>
      </c>
      <c r="O59" s="73" t="s">
        <v>376</v>
      </c>
      <c r="P59" s="52">
        <v>4.0000000000000002E-4</v>
      </c>
      <c r="Q59" s="52">
        <f t="shared" ref="Q59" si="49">P59*N59</f>
        <v>0.04</v>
      </c>
      <c r="R59" s="51"/>
      <c r="S59" s="59"/>
    </row>
    <row r="60" spans="1:19" x14ac:dyDescent="0.25">
      <c r="A60" s="1"/>
      <c r="B60" s="46">
        <f>ROW(B60) - ROW($B$9)</f>
        <v>51</v>
      </c>
      <c r="C60" s="53" t="s">
        <v>23</v>
      </c>
      <c r="D60" s="37" t="s">
        <v>78</v>
      </c>
      <c r="E60" s="37" t="s">
        <v>141</v>
      </c>
      <c r="F60" s="37" t="s">
        <v>181</v>
      </c>
      <c r="G60" s="37" t="s">
        <v>235</v>
      </c>
      <c r="H60" s="37" t="s">
        <v>252</v>
      </c>
      <c r="I60" s="37" t="s">
        <v>373</v>
      </c>
      <c r="J60" s="37" t="s">
        <v>325</v>
      </c>
      <c r="K60" s="37" t="s">
        <v>358</v>
      </c>
      <c r="L60" s="37">
        <v>2</v>
      </c>
      <c r="M60" s="37">
        <f>L60*5</f>
        <v>10</v>
      </c>
      <c r="N60" s="37">
        <v>100</v>
      </c>
      <c r="O60" s="73" t="s">
        <v>376</v>
      </c>
      <c r="P60" s="38">
        <v>1.2999999999999999E-3</v>
      </c>
      <c r="Q60" s="38">
        <f>P60*N60</f>
        <v>0.13</v>
      </c>
      <c r="R60" s="37"/>
      <c r="S60" s="59"/>
    </row>
    <row r="61" spans="1:19" x14ac:dyDescent="0.25">
      <c r="A61" s="1"/>
      <c r="B61" s="47">
        <f t="shared" si="0"/>
        <v>52</v>
      </c>
      <c r="C61" s="54" t="s">
        <v>23</v>
      </c>
      <c r="D61" s="51" t="s">
        <v>79</v>
      </c>
      <c r="E61" s="51" t="s">
        <v>142</v>
      </c>
      <c r="F61" s="51" t="s">
        <v>374</v>
      </c>
      <c r="G61" s="51" t="s">
        <v>236</v>
      </c>
      <c r="H61" s="51" t="s">
        <v>252</v>
      </c>
      <c r="I61" s="51" t="s">
        <v>373</v>
      </c>
      <c r="J61" s="51" t="s">
        <v>326</v>
      </c>
      <c r="K61" s="51" t="s">
        <v>359</v>
      </c>
      <c r="L61" s="51">
        <v>2</v>
      </c>
      <c r="M61" s="51">
        <f t="shared" ref="M61" si="50">L61*5</f>
        <v>10</v>
      </c>
      <c r="N61" s="51">
        <v>100</v>
      </c>
      <c r="O61" s="73" t="s">
        <v>376</v>
      </c>
      <c r="P61" s="52">
        <v>6.8999999999999999E-3</v>
      </c>
      <c r="Q61" s="52">
        <f t="shared" ref="Q61" si="51">P61*N61</f>
        <v>0.69</v>
      </c>
      <c r="R61" s="51"/>
      <c r="S61" s="59"/>
    </row>
    <row r="62" spans="1:19" ht="24" x14ac:dyDescent="0.25">
      <c r="A62" s="1"/>
      <c r="B62" s="46">
        <f>ROW(B62) - ROW($B$9)</f>
        <v>53</v>
      </c>
      <c r="C62" s="53" t="s">
        <v>24</v>
      </c>
      <c r="D62" s="37" t="s">
        <v>80</v>
      </c>
      <c r="E62" s="37" t="s">
        <v>143</v>
      </c>
      <c r="F62" s="37" t="s">
        <v>374</v>
      </c>
      <c r="G62" s="37" t="s">
        <v>182</v>
      </c>
      <c r="H62" s="37" t="s">
        <v>276</v>
      </c>
      <c r="I62" s="37" t="s">
        <v>373</v>
      </c>
      <c r="J62" s="37" t="s">
        <v>387</v>
      </c>
      <c r="K62" s="37" t="s">
        <v>373</v>
      </c>
      <c r="L62" s="37">
        <v>1</v>
      </c>
      <c r="M62" s="37">
        <f>L62*5</f>
        <v>5</v>
      </c>
      <c r="N62" s="37">
        <v>10</v>
      </c>
      <c r="O62" s="73" t="s">
        <v>376</v>
      </c>
      <c r="P62" s="38">
        <v>0.12659999999999999</v>
      </c>
      <c r="Q62" s="38">
        <f>P62*N62</f>
        <v>1.266</v>
      </c>
      <c r="R62" s="37"/>
      <c r="S62" s="59"/>
    </row>
    <row r="63" spans="1:19" x14ac:dyDescent="0.25">
      <c r="A63" s="1"/>
      <c r="B63" s="47">
        <f t="shared" si="0"/>
        <v>54</v>
      </c>
      <c r="C63" s="54" t="s">
        <v>25</v>
      </c>
      <c r="D63" s="51" t="s">
        <v>81</v>
      </c>
      <c r="E63" s="51" t="s">
        <v>144</v>
      </c>
      <c r="F63" s="51" t="s">
        <v>183</v>
      </c>
      <c r="G63" s="51" t="s">
        <v>237</v>
      </c>
      <c r="H63" s="51" t="s">
        <v>254</v>
      </c>
      <c r="I63" s="51" t="s">
        <v>373</v>
      </c>
      <c r="J63" s="51" t="s">
        <v>327</v>
      </c>
      <c r="K63" s="51" t="s">
        <v>373</v>
      </c>
      <c r="L63" s="51">
        <v>1</v>
      </c>
      <c r="M63" s="51">
        <f t="shared" ref="M63" si="52">L63*5</f>
        <v>5</v>
      </c>
      <c r="N63" s="51">
        <v>6</v>
      </c>
      <c r="O63" s="73" t="s">
        <v>376</v>
      </c>
      <c r="P63" s="52">
        <v>0.35320000000000001</v>
      </c>
      <c r="Q63" s="52">
        <f t="shared" ref="Q63" si="53">P63*N63</f>
        <v>2.1192000000000002</v>
      </c>
      <c r="R63" s="51"/>
      <c r="S63" s="59"/>
    </row>
    <row r="64" spans="1:19" x14ac:dyDescent="0.25">
      <c r="A64" s="1"/>
      <c r="B64" s="46">
        <f>ROW(B64) - ROW($B$9)</f>
        <v>55</v>
      </c>
      <c r="C64" s="53" t="s">
        <v>25</v>
      </c>
      <c r="D64" s="37" t="s">
        <v>82</v>
      </c>
      <c r="E64" s="37" t="s">
        <v>145</v>
      </c>
      <c r="F64" s="37" t="s">
        <v>184</v>
      </c>
      <c r="G64" s="37" t="s">
        <v>238</v>
      </c>
      <c r="H64" s="37" t="s">
        <v>254</v>
      </c>
      <c r="I64" s="37" t="s">
        <v>373</v>
      </c>
      <c r="J64" s="37" t="s">
        <v>328</v>
      </c>
      <c r="K64" s="37" t="s">
        <v>373</v>
      </c>
      <c r="L64" s="37">
        <v>1</v>
      </c>
      <c r="M64" s="37">
        <f>L64*5</f>
        <v>5</v>
      </c>
      <c r="N64" s="37">
        <v>6</v>
      </c>
      <c r="O64" s="73" t="s">
        <v>376</v>
      </c>
      <c r="P64" s="38">
        <v>0.46460000000000001</v>
      </c>
      <c r="Q64" s="38">
        <f>P64*N64</f>
        <v>2.7876000000000003</v>
      </c>
      <c r="R64" s="37"/>
      <c r="S64" s="59"/>
    </row>
    <row r="65" spans="1:19" x14ac:dyDescent="0.25">
      <c r="A65" s="1"/>
      <c r="B65" s="47">
        <f t="shared" si="0"/>
        <v>56</v>
      </c>
      <c r="C65" s="54" t="s">
        <v>25</v>
      </c>
      <c r="D65" s="51" t="s">
        <v>83</v>
      </c>
      <c r="E65" s="51" t="s">
        <v>146</v>
      </c>
      <c r="F65" s="51" t="s">
        <v>185</v>
      </c>
      <c r="G65" s="51" t="s">
        <v>239</v>
      </c>
      <c r="H65" s="51" t="s">
        <v>277</v>
      </c>
      <c r="I65" s="51" t="s">
        <v>373</v>
      </c>
      <c r="J65" s="51" t="s">
        <v>329</v>
      </c>
      <c r="K65" s="51" t="s">
        <v>373</v>
      </c>
      <c r="L65" s="51">
        <v>1</v>
      </c>
      <c r="M65" s="51">
        <f t="shared" ref="M65" si="54">L65*5</f>
        <v>5</v>
      </c>
      <c r="N65" s="51">
        <v>6</v>
      </c>
      <c r="O65" s="73" t="s">
        <v>376</v>
      </c>
      <c r="P65" s="52">
        <v>0.37230000000000002</v>
      </c>
      <c r="Q65" s="52">
        <f t="shared" ref="Q65" si="55">P65*N65</f>
        <v>2.2338</v>
      </c>
      <c r="R65" s="51"/>
      <c r="S65" s="59"/>
    </row>
    <row r="66" spans="1:19" x14ac:dyDescent="0.25">
      <c r="A66" s="1"/>
      <c r="B66" s="46">
        <f>ROW(B66) - ROW($B$9)</f>
        <v>57</v>
      </c>
      <c r="C66" s="53" t="s">
        <v>25</v>
      </c>
      <c r="D66" s="37" t="s">
        <v>84</v>
      </c>
      <c r="E66" s="37" t="s">
        <v>147</v>
      </c>
      <c r="F66" s="37" t="s">
        <v>186</v>
      </c>
      <c r="G66" s="37" t="s">
        <v>240</v>
      </c>
      <c r="H66" s="37" t="s">
        <v>278</v>
      </c>
      <c r="I66" s="37" t="s">
        <v>373</v>
      </c>
      <c r="J66" s="37" t="s">
        <v>373</v>
      </c>
      <c r="K66" s="37" t="s">
        <v>373</v>
      </c>
      <c r="L66" s="37">
        <v>1</v>
      </c>
      <c r="M66" s="37">
        <f>L66*5</f>
        <v>5</v>
      </c>
      <c r="N66" s="37">
        <v>6</v>
      </c>
      <c r="O66" s="73" t="s">
        <v>375</v>
      </c>
      <c r="P66" s="38">
        <v>2.5099999999999998</v>
      </c>
      <c r="Q66" s="38">
        <f>P66*N66</f>
        <v>15.059999999999999</v>
      </c>
      <c r="R66" s="37"/>
      <c r="S66" s="59"/>
    </row>
    <row r="67" spans="1:19" x14ac:dyDescent="0.25">
      <c r="A67" s="1"/>
      <c r="B67" s="47">
        <f t="shared" si="0"/>
        <v>58</v>
      </c>
      <c r="C67" s="54" t="s">
        <v>25</v>
      </c>
      <c r="D67" s="51" t="s">
        <v>85</v>
      </c>
      <c r="E67" s="51" t="s">
        <v>148</v>
      </c>
      <c r="F67" s="51" t="s">
        <v>187</v>
      </c>
      <c r="G67" s="51" t="s">
        <v>241</v>
      </c>
      <c r="H67" s="51" t="s">
        <v>279</v>
      </c>
      <c r="I67" s="51"/>
      <c r="J67" s="51" t="s">
        <v>330</v>
      </c>
      <c r="K67" s="37" t="s">
        <v>373</v>
      </c>
      <c r="L67" s="51">
        <v>1</v>
      </c>
      <c r="M67" s="51">
        <f t="shared" ref="M67" si="56">L67*5</f>
        <v>5</v>
      </c>
      <c r="N67" s="51">
        <v>6</v>
      </c>
      <c r="O67" s="73" t="s">
        <v>376</v>
      </c>
      <c r="P67" s="52">
        <v>1.8821000000000001</v>
      </c>
      <c r="Q67" s="52">
        <f t="shared" ref="Q67" si="57">P67*N67</f>
        <v>11.2926</v>
      </c>
      <c r="R67" s="51"/>
      <c r="S67" s="59"/>
    </row>
    <row r="68" spans="1:19" ht="24" x14ac:dyDescent="0.25">
      <c r="A68" s="1"/>
      <c r="B68" s="46">
        <f>ROW(B68) - ROW($B$9)</f>
        <v>59</v>
      </c>
      <c r="C68" s="53" t="s">
        <v>25</v>
      </c>
      <c r="D68" s="37" t="s">
        <v>86</v>
      </c>
      <c r="E68" s="37" t="s">
        <v>149</v>
      </c>
      <c r="F68" s="37" t="s">
        <v>374</v>
      </c>
      <c r="G68" s="37" t="s">
        <v>188</v>
      </c>
      <c r="H68" s="37" t="s">
        <v>280</v>
      </c>
      <c r="I68" s="37" t="s">
        <v>373</v>
      </c>
      <c r="J68" s="37" t="s">
        <v>373</v>
      </c>
      <c r="K68" s="51" t="s">
        <v>373</v>
      </c>
      <c r="L68" s="37">
        <v>1</v>
      </c>
      <c r="M68" s="37">
        <f>L68*5</f>
        <v>5</v>
      </c>
      <c r="N68" s="51">
        <v>6</v>
      </c>
      <c r="O68" s="70" t="s">
        <v>377</v>
      </c>
      <c r="P68" s="52">
        <v>27.036000000000001</v>
      </c>
      <c r="Q68" s="38">
        <f>P68*N68</f>
        <v>162.21600000000001</v>
      </c>
      <c r="R68" s="37"/>
      <c r="S68" s="59"/>
    </row>
    <row r="69" spans="1:19" ht="24" x14ac:dyDescent="0.25">
      <c r="A69" s="1"/>
      <c r="B69" s="47">
        <f t="shared" si="0"/>
        <v>60</v>
      </c>
      <c r="C69" s="54" t="s">
        <v>12</v>
      </c>
      <c r="D69" s="51" t="s">
        <v>87</v>
      </c>
      <c r="E69" s="51" t="s">
        <v>150</v>
      </c>
      <c r="F69" s="51" t="s">
        <v>167</v>
      </c>
      <c r="G69" s="51" t="s">
        <v>242</v>
      </c>
      <c r="H69" s="51" t="s">
        <v>281</v>
      </c>
      <c r="I69" s="51" t="s">
        <v>373</v>
      </c>
      <c r="J69" s="51" t="s">
        <v>331</v>
      </c>
      <c r="K69" s="37" t="s">
        <v>373</v>
      </c>
      <c r="L69" s="51">
        <v>1</v>
      </c>
      <c r="M69" s="51">
        <f t="shared" ref="M69" si="58">L69*5</f>
        <v>5</v>
      </c>
      <c r="N69" s="37">
        <v>20</v>
      </c>
      <c r="O69" s="70" t="s">
        <v>376</v>
      </c>
      <c r="P69" s="38">
        <v>3.85E-2</v>
      </c>
      <c r="Q69" s="52">
        <f t="shared" ref="Q69" si="59">P69*N69</f>
        <v>0.77</v>
      </c>
      <c r="R69" s="51"/>
      <c r="S69" s="59"/>
    </row>
    <row r="70" spans="1:19" x14ac:dyDescent="0.25">
      <c r="A70" s="1"/>
      <c r="B70" s="46">
        <f>ROW(B70) - ROW($B$9)</f>
        <v>61</v>
      </c>
      <c r="C70" s="53" t="s">
        <v>25</v>
      </c>
      <c r="D70" s="37" t="s">
        <v>88</v>
      </c>
      <c r="E70" s="37" t="s">
        <v>151</v>
      </c>
      <c r="F70" s="37" t="s">
        <v>189</v>
      </c>
      <c r="G70" s="37" t="s">
        <v>243</v>
      </c>
      <c r="H70" s="37" t="s">
        <v>282</v>
      </c>
      <c r="I70" s="37" t="s">
        <v>373</v>
      </c>
      <c r="J70" s="37" t="s">
        <v>332</v>
      </c>
      <c r="K70" s="51" t="s">
        <v>373</v>
      </c>
      <c r="L70" s="37">
        <v>1</v>
      </c>
      <c r="M70" s="37">
        <f>L70*5</f>
        <v>5</v>
      </c>
      <c r="N70" s="51">
        <v>6</v>
      </c>
      <c r="O70" s="70" t="s">
        <v>376</v>
      </c>
      <c r="P70" s="52">
        <v>0.43280000000000002</v>
      </c>
      <c r="Q70" s="38">
        <f>P70*N70</f>
        <v>2.5968</v>
      </c>
      <c r="R70" s="37"/>
      <c r="S70" s="59"/>
    </row>
    <row r="71" spans="1:19" x14ac:dyDescent="0.25">
      <c r="A71" s="1"/>
      <c r="B71" s="47">
        <f t="shared" si="0"/>
        <v>62</v>
      </c>
      <c r="C71" s="54" t="s">
        <v>25</v>
      </c>
      <c r="D71" s="51" t="s">
        <v>89</v>
      </c>
      <c r="E71" s="51" t="s">
        <v>152</v>
      </c>
      <c r="F71" s="51" t="s">
        <v>190</v>
      </c>
      <c r="G71" s="51" t="s">
        <v>244</v>
      </c>
      <c r="H71" s="51" t="s">
        <v>282</v>
      </c>
      <c r="I71" s="51" t="s">
        <v>373</v>
      </c>
      <c r="J71" s="51" t="s">
        <v>333</v>
      </c>
      <c r="K71" s="37" t="s">
        <v>373</v>
      </c>
      <c r="L71" s="51">
        <v>1</v>
      </c>
      <c r="M71" s="51">
        <f t="shared" ref="M71" si="60">L71*5</f>
        <v>5</v>
      </c>
      <c r="N71" s="51">
        <v>6</v>
      </c>
      <c r="O71" s="73" t="s">
        <v>376</v>
      </c>
      <c r="P71" s="52">
        <v>0.80659999999999998</v>
      </c>
      <c r="Q71" s="52">
        <f t="shared" ref="Q71" si="61">P71*N71</f>
        <v>4.8395999999999999</v>
      </c>
      <c r="R71" s="51"/>
      <c r="S71" s="59"/>
    </row>
    <row r="72" spans="1:19" ht="24.75" thickBot="1" x14ac:dyDescent="0.3">
      <c r="A72" s="1"/>
      <c r="B72" s="46">
        <f>ROW(B72) - ROW($B$9)</f>
        <v>63</v>
      </c>
      <c r="C72" s="53" t="s">
        <v>26</v>
      </c>
      <c r="D72" s="37" t="s">
        <v>90</v>
      </c>
      <c r="E72" s="37" t="s">
        <v>153</v>
      </c>
      <c r="F72" s="37" t="s">
        <v>374</v>
      </c>
      <c r="G72" s="37" t="s">
        <v>245</v>
      </c>
      <c r="H72" s="37" t="s">
        <v>283</v>
      </c>
      <c r="I72" s="37" t="s">
        <v>373</v>
      </c>
      <c r="J72" s="37" t="s">
        <v>334</v>
      </c>
      <c r="K72" s="37" t="s">
        <v>360</v>
      </c>
      <c r="L72" s="37">
        <v>1</v>
      </c>
      <c r="M72" s="37">
        <f>L72*5</f>
        <v>5</v>
      </c>
      <c r="N72" s="37">
        <v>10</v>
      </c>
      <c r="O72" s="70" t="s">
        <v>376</v>
      </c>
      <c r="P72" s="38">
        <v>0.08</v>
      </c>
      <c r="Q72" s="38">
        <f>P72*N72</f>
        <v>0.8</v>
      </c>
      <c r="R72" s="37"/>
      <c r="S72" s="39"/>
    </row>
    <row r="73" spans="1:19" ht="19.5" thickBot="1" x14ac:dyDescent="0.3">
      <c r="A73" s="1"/>
      <c r="B73" s="40"/>
      <c r="C73" s="41"/>
      <c r="D73" s="42"/>
      <c r="E73" s="43"/>
      <c r="F73" s="44"/>
      <c r="G73" s="45"/>
      <c r="H73" s="44"/>
      <c r="I73" s="45"/>
      <c r="J73" s="44"/>
      <c r="K73" s="45"/>
      <c r="L73" s="45"/>
      <c r="M73" s="45"/>
      <c r="N73" s="68" t="s">
        <v>5</v>
      </c>
      <c r="O73" s="69"/>
      <c r="P73" s="69"/>
      <c r="Q73" s="48">
        <f>SUM(Q10:Q72)</f>
        <v>277.12860000000001</v>
      </c>
      <c r="R73" s="64"/>
      <c r="S73" s="65"/>
    </row>
    <row r="74" spans="1:19" ht="19.5" thickBot="1" x14ac:dyDescent="0.3">
      <c r="A74" s="1"/>
      <c r="B74" s="25"/>
      <c r="C74" s="36"/>
      <c r="D74" s="9"/>
      <c r="E74" s="10"/>
      <c r="F74" s="10"/>
      <c r="G74" s="10"/>
      <c r="H74" s="10"/>
      <c r="I74" s="10"/>
      <c r="J74" s="10"/>
      <c r="K74" s="10"/>
      <c r="L74" s="10"/>
      <c r="M74" s="10"/>
      <c r="N74" s="68" t="s">
        <v>6</v>
      </c>
      <c r="O74" s="69"/>
      <c r="P74" s="69"/>
      <c r="Q74" s="49">
        <f>Q73/5</f>
        <v>55.425719999999998</v>
      </c>
      <c r="R74" s="66"/>
      <c r="S74" s="67"/>
    </row>
  </sheetData>
  <mergeCells count="5">
    <mergeCell ref="K1:S1"/>
    <mergeCell ref="S3:S8"/>
    <mergeCell ref="R73:S74"/>
    <mergeCell ref="N73:P73"/>
    <mergeCell ref="N74:P74"/>
  </mergeCells>
  <hyperlinks>
    <hyperlink ref="O18" r:id="rId1"/>
    <hyperlink ref="O22" r:id="rId2"/>
    <hyperlink ref="O40" r:id="rId3"/>
    <hyperlink ref="O68" r:id="rId4"/>
    <hyperlink ref="O69" r:id="rId5"/>
    <hyperlink ref="O70" r:id="rId6"/>
    <hyperlink ref="O12" r:id="rId7"/>
    <hyperlink ref="O13" r:id="rId8"/>
    <hyperlink ref="O16" r:id="rId9"/>
    <hyperlink ref="O58" r:id="rId10"/>
    <hyperlink ref="O52" r:id="rId11"/>
    <hyperlink ref="O54" r:id="rId12"/>
    <hyperlink ref="O53" r:id="rId13"/>
    <hyperlink ref="O55" r:id="rId14"/>
    <hyperlink ref="O56" r:id="rId15"/>
    <hyperlink ref="O59" r:id="rId16"/>
    <hyperlink ref="O36" r:id="rId17"/>
    <hyperlink ref="O34" r:id="rId18"/>
    <hyperlink ref="O31" r:id="rId19"/>
    <hyperlink ref="O30" r:id="rId20"/>
    <hyperlink ref="O37" r:id="rId21"/>
    <hyperlink ref="O38" r:id="rId22"/>
    <hyperlink ref="O42" r:id="rId23"/>
    <hyperlink ref="O45" r:id="rId24"/>
    <hyperlink ref="O46" r:id="rId25"/>
    <hyperlink ref="O23" r:id="rId26"/>
    <hyperlink ref="O14" r:id="rId27"/>
    <hyperlink ref="O15" r:id="rId28"/>
    <hyperlink ref="O17" r:id="rId29"/>
    <hyperlink ref="O19" r:id="rId30"/>
    <hyperlink ref="O20" r:id="rId31"/>
    <hyperlink ref="O21" r:id="rId32"/>
    <hyperlink ref="O24" r:id="rId33"/>
    <hyperlink ref="O25" r:id="rId34"/>
    <hyperlink ref="O26" r:id="rId35"/>
    <hyperlink ref="O27" r:id="rId36"/>
    <hyperlink ref="O28" r:id="rId37"/>
    <hyperlink ref="O29" r:id="rId38"/>
    <hyperlink ref="O32" r:id="rId39"/>
    <hyperlink ref="O33" r:id="rId40"/>
    <hyperlink ref="O35" r:id="rId41"/>
    <hyperlink ref="O41" r:id="rId42"/>
    <hyperlink ref="O43" r:id="rId43"/>
    <hyperlink ref="O44" r:id="rId44"/>
    <hyperlink ref="O47" r:id="rId45"/>
    <hyperlink ref="O57" r:id="rId46"/>
    <hyperlink ref="O49" r:id="rId47"/>
    <hyperlink ref="O50" r:id="rId48"/>
    <hyperlink ref="O51" r:id="rId49"/>
    <hyperlink ref="O60" r:id="rId50"/>
    <hyperlink ref="O61" r:id="rId51"/>
    <hyperlink ref="O62" r:id="rId52"/>
    <hyperlink ref="O63" r:id="rId53"/>
    <hyperlink ref="O64" r:id="rId54"/>
    <hyperlink ref="O65" r:id="rId55"/>
    <hyperlink ref="O67" r:id="rId56"/>
    <hyperlink ref="O71" r:id="rId57"/>
    <hyperlink ref="O72" r:id="rId58"/>
    <hyperlink ref="O66" r:id="rId59"/>
    <hyperlink ref="O11" r:id="rId60"/>
  </hyperlinks>
  <pageMargins left="0.7" right="0.7" top="0.75" bottom="0.75" header="0.3" footer="0.3"/>
  <pageSetup paperSize="9" orientation="portrait" r:id="rId61"/>
  <drawing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2023-07-20T12:24:34Z</dcterms:modified>
</cp:coreProperties>
</file>