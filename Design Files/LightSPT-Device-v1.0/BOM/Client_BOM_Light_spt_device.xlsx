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lightsptdevice\Design Files\Light_spt_device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O70" i="1" l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49" i="1"/>
  <c r="O43" i="1"/>
  <c r="O42" i="1"/>
  <c r="O37" i="1"/>
  <c r="O30" i="1"/>
  <c r="O27" i="1"/>
  <c r="O26" i="1"/>
  <c r="O24" i="1"/>
  <c r="O22" i="1"/>
  <c r="O21" i="1"/>
  <c r="O20" i="1"/>
  <c r="O19" i="1"/>
  <c r="O18" i="1"/>
  <c r="O17" i="1"/>
  <c r="O16" i="1"/>
  <c r="O15" i="1"/>
  <c r="O14" i="1"/>
  <c r="O13" i="1"/>
  <c r="O12" i="1"/>
  <c r="O11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73" i="1" l="1"/>
  <c r="O74" i="1" s="1"/>
</calcChain>
</file>

<file path=xl/sharedStrings.xml><?xml version="1.0" encoding="utf-8"?>
<sst xmlns="http://schemas.openxmlformats.org/spreadsheetml/2006/main" count="637" uniqueCount="323">
  <si>
    <t>Component list</t>
  </si>
  <si>
    <t>Source Data From:</t>
  </si>
  <si>
    <t>Project:</t>
  </si>
  <si>
    <t>Variant:</t>
  </si>
  <si>
    <t>#</t>
  </si>
  <si>
    <t>None</t>
  </si>
  <si>
    <t>Item Type</t>
  </si>
  <si>
    <t>Antenna</t>
  </si>
  <si>
    <t>Capacitor</t>
  </si>
  <si>
    <t>Diode</t>
  </si>
  <si>
    <t>ESD Diode</t>
  </si>
  <si>
    <t>Fuse</t>
  </si>
  <si>
    <t>Terminal Block</t>
  </si>
  <si>
    <t>Connector</t>
  </si>
  <si>
    <t>Pogo Connector</t>
  </si>
  <si>
    <t>SMA</t>
  </si>
  <si>
    <t>SIM Card Connectors</t>
  </si>
  <si>
    <t>Relay</t>
  </si>
  <si>
    <t>Inductor</t>
  </si>
  <si>
    <t>LED</t>
  </si>
  <si>
    <t>Mosfet</t>
  </si>
  <si>
    <t>Resistor</t>
  </si>
  <si>
    <t>Tactile Switch</t>
  </si>
  <si>
    <t>IC</t>
  </si>
  <si>
    <t>Crystal</t>
  </si>
  <si>
    <t>Designator</t>
  </si>
  <si>
    <t>ANT1</t>
  </si>
  <si>
    <t>ANT2</t>
  </si>
  <si>
    <t>C1, C3, C7, C9, C12, C17, C18, C19, C22, C23, C25, C32, C37, C38, C39, C40, C41, C42, C43, C44, C45, C46, C47</t>
  </si>
  <si>
    <t>C2, C8, C20</t>
  </si>
  <si>
    <t>C4</t>
  </si>
  <si>
    <t>C5, C6, C10, C11</t>
  </si>
  <si>
    <t>C13, C16, C21, C24, C33</t>
  </si>
  <si>
    <t>C14, C15</t>
  </si>
  <si>
    <t>C26, C27, C34, C35, C36</t>
  </si>
  <si>
    <t>C28</t>
  </si>
  <si>
    <t>C29</t>
  </si>
  <si>
    <t>C30</t>
  </si>
  <si>
    <t>C31</t>
  </si>
  <si>
    <t>D1</t>
  </si>
  <si>
    <t>D2, D12</t>
  </si>
  <si>
    <t>D3</t>
  </si>
  <si>
    <t>D4</t>
  </si>
  <si>
    <t>D5</t>
  </si>
  <si>
    <t>D6</t>
  </si>
  <si>
    <t>D7, D8</t>
  </si>
  <si>
    <t>D9, D10, D11</t>
  </si>
  <si>
    <t>D13, D14</t>
  </si>
  <si>
    <t>F1</t>
  </si>
  <si>
    <t>F2</t>
  </si>
  <si>
    <t>F3, F4</t>
  </si>
  <si>
    <t>J1</t>
  </si>
  <si>
    <t>J2, J3, J4, J5, J6</t>
  </si>
  <si>
    <t>J7</t>
  </si>
  <si>
    <t>J8</t>
  </si>
  <si>
    <t>J9, J12</t>
  </si>
  <si>
    <t>J10</t>
  </si>
  <si>
    <t>J11</t>
  </si>
  <si>
    <t>K1</t>
  </si>
  <si>
    <t>L1</t>
  </si>
  <si>
    <t>L2</t>
  </si>
  <si>
    <t>L3</t>
  </si>
  <si>
    <t>LED1, LED2, LED4</t>
  </si>
  <si>
    <t>LED3</t>
  </si>
  <si>
    <t>P1, P2, P3, P4</t>
  </si>
  <si>
    <t>Q1, Q3, Q4, Q5, Q6, Q7</t>
  </si>
  <si>
    <t>Q2</t>
  </si>
  <si>
    <t>R1</t>
  </si>
  <si>
    <t>R2, R4</t>
  </si>
  <si>
    <t>R3, R8, R11, R12, R13, R15</t>
  </si>
  <si>
    <t>R5</t>
  </si>
  <si>
    <t>R6, R7, R16, R22, R25, R26, R28, R30, R32, R33, R34, R35, R36, R37, R38, R39, R40</t>
  </si>
  <si>
    <t>R9, R10, R19</t>
  </si>
  <si>
    <t>R14</t>
  </si>
  <si>
    <t>R17, R23, R27, R29, R31</t>
  </si>
  <si>
    <t>R18, R20, R41, R42</t>
  </si>
  <si>
    <t>R21, R24</t>
  </si>
  <si>
    <t>R43, R44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</si>
  <si>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</si>
  <si>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</si>
  <si>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</si>
  <si>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</si>
  <si>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</si>
  <si>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</si>
  <si>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</si>
  <si>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</si>
  <si>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</si>
  <si>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</si>
  <si>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</si>
  <si>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Description</t>
  </si>
  <si>
    <t>RF ANT 1.575GHZ CHIP SOLDER SMD</t>
  </si>
  <si>
    <t>CAP CER 0.1UF 100V X5R 0402</t>
  </si>
  <si>
    <t>CAP CER 10UF 10V X5R 0402</t>
  </si>
  <si>
    <t>CAP CER 100PF 50V C0G/NP0 0402</t>
  </si>
  <si>
    <t>CAP CER 22UF 25V X5R 1206</t>
  </si>
  <si>
    <t>CAP CER 1UF 50V X5R 0402</t>
  </si>
  <si>
    <t>CAP CER 10000PF 50V X7R 0402</t>
  </si>
  <si>
    <t>CAP CER 22PF 50V C0G/NPO 0402</t>
  </si>
  <si>
    <t>CAP CER 2.2PF 50V C0G/NPO 0603</t>
  </si>
  <si>
    <t>CAP CER 33PF 25V C0G/NP0 0402</t>
  </si>
  <si>
    <t>CAP CER 0.022UF 16V X5R 0402</t>
  </si>
  <si>
    <t>CAP TANT 220UF 20% 6.3V SMD</t>
  </si>
  <si>
    <t>58.1V 40V 36V Bi-Directional SMB(DO-214AA) TVS ROHS</t>
  </si>
  <si>
    <t>DIODE GEN PURP 75V 150MA SOD323</t>
  </si>
  <si>
    <t>15V 19A 3.3V 4V Bidirectional SOD-323 ESD Protection Devices ROHS</t>
  </si>
  <si>
    <t>DIODE ZENER 5.1V 500MW SOD123</t>
  </si>
  <si>
    <t>TVS DIODE 5VWM 6.3VC DSN0603-2</t>
  </si>
  <si>
    <t>16A 20V 7V 5V@Max Unidirectional SOT-23 TVS ROHS</t>
  </si>
  <si>
    <t>35A@8/20us 15V 4.5V@Max Unidirectional DFN1006 TVS ROHS</t>
  </si>
  <si>
    <t>DIODE ZENER ARRAY 3.3V SOT363</t>
  </si>
  <si>
    <t>SMB(DO-214AA) TVS ROHS</t>
  </si>
  <si>
    <t>33V 1.5A 40A 3A 1812 Resettable Fuses ROHS</t>
  </si>
  <si>
    <t>6V 500mA 40A 1A 0603 Resettable Fuses ROHS</t>
  </si>
  <si>
    <t>9V 200mA 100A 500mA 0805 Resettable Fuses ROHS</t>
  </si>
  <si>
    <t>1x2P 18A -40℃~+105℃ 250V Black 12~30 Straight pin 5.08mm 2.5 1 2 Plugin,P=5.08mm Screw terminal ROHS</t>
  </si>
  <si>
    <t>1x3P 18A -40℃~+105℃ 250V Black 12~30 Straight pin 5.08mm 2.5 1 3 Plugin,P=5.08mm Screw terminal ROHS</t>
  </si>
  <si>
    <t>CONN HEADER SMD 11POS 1.25MM</t>
  </si>
  <si>
    <t>1x6P SH 1 1mm 6 SMD,P=1mm Wire To Board / Wire To Wire Connector ROHS</t>
  </si>
  <si>
    <t>Pogo Pad 2.5mm 4 Pin</t>
  </si>
  <si>
    <t>1 Inner bore SMA Board Edge Bend -55℃~+155℃ 50Ω Plugin RF Connectors / Coaxial Connectors ROHS</t>
  </si>
  <si>
    <t>Copper Alloy Self bomb Gold plating 1.25mm Deck -40℃~+85℃ 260℃ NanoSIM SMD SIM Card Connectors ROHS</t>
  </si>
  <si>
    <t>RELAY GEN PURPOSE SPDT 3A 3V</t>
  </si>
  <si>
    <t>FIXED IND 10UH 2.5A 43.7 MOHM</t>
  </si>
  <si>
    <t>2.7A 6.8uH ±20% 50mΩ SMD Power Inductors ROHS</t>
  </si>
  <si>
    <t>2nH ±0.3nH 0603 Inductors</t>
  </si>
  <si>
    <t>Red 632nm LED Indication - Discrete 2.05V 0603 (1608 Metric)</t>
  </si>
  <si>
    <t>Yellow-Green 572nm LED Indication - Discrete 2.05V 0603 (1608 Metric)</t>
  </si>
  <si>
    <t>Test Point ON</t>
  </si>
  <si>
    <t>TRANS NPN 40V 0.6A SMD SOT23-3</t>
  </si>
  <si>
    <t>20V 2.2A 800mW 110mΩ@4.5V,2.7A 810mV@250uA P Channel SOT-23 MOSFETs ROHS</t>
  </si>
  <si>
    <t>RES 39K OHM 1% 1/16W 0402</t>
  </si>
  <si>
    <t>RES 470 OHM 5% 1/20W 0201</t>
  </si>
  <si>
    <t>RES SMD 10K OHM 1% 1/20W 0201</t>
  </si>
  <si>
    <t>RES 499 OHM 1% 1/16W 0402</t>
  </si>
  <si>
    <t>RES 4.7K OHM 1% 1/16W 0402</t>
  </si>
  <si>
    <t>RES 0 OHM JUMPER 1/16W 0402</t>
  </si>
  <si>
    <t>RES 1K OHM 5% 1/16W 0402</t>
  </si>
  <si>
    <t>RES 47K OHM 1% 1/16W 0402</t>
  </si>
  <si>
    <t>RES SMD 22 OHM 1% 1/5W 0402</t>
  </si>
  <si>
    <t>RES 180 OHM 1% 1/10W 0603</t>
  </si>
  <si>
    <t>RES ARRAY 4 RES 100K OHM 1206</t>
  </si>
  <si>
    <t>50mA Lying SPST 24V Plugin Tactile Switches ROHS</t>
  </si>
  <si>
    <t>IC REG BUCK ADJUSTABLE 2A TSOT26</t>
  </si>
  <si>
    <t>IC REG BUCK 3.3V 2A TSOT26</t>
  </si>
  <si>
    <t>IC FLASH 64M SPI 133MHZ 8SOIC</t>
  </si>
  <si>
    <t>SMD IC ESP32-S3R8, DUAL-CORE MCU</t>
  </si>
  <si>
    <t>IC AUTHENTICATION CHIP 8SOIC</t>
  </si>
  <si>
    <t>SMD,30x30mm 2G/3G/4G/5G Modules ROHS</t>
  </si>
  <si>
    <t>15V 5 Unidirectional 5V SOT-363 ESD Protection Devices ROHS</t>
  </si>
  <si>
    <t>IC TRNSLTR BIDIRECTIONAL US8</t>
  </si>
  <si>
    <t>IC TRANSCEIVER FULL 2/2 16SOIC</t>
  </si>
  <si>
    <t>40MHz SMD Crystal Resonator 15pF SMD3225-4P Crystals ROHS</t>
  </si>
  <si>
    <t>Footprint</t>
  </si>
  <si>
    <t>ANT*</t>
  </si>
  <si>
    <t>W3011</t>
  </si>
  <si>
    <t>Cap-0402</t>
  </si>
  <si>
    <t>Cap-1206</t>
  </si>
  <si>
    <t>Cap-0603</t>
  </si>
  <si>
    <t>Case-B</t>
  </si>
  <si>
    <t>SMB_</t>
  </si>
  <si>
    <t>SOD-323</t>
  </si>
  <si>
    <t>SOD-123</t>
  </si>
  <si>
    <t>DSN0603-2</t>
  </si>
  <si>
    <t>Sot-23</t>
  </si>
  <si>
    <t>DFN1006-2L_</t>
  </si>
  <si>
    <t>SOT-363</t>
  </si>
  <si>
    <t>Fuse-1812_</t>
  </si>
  <si>
    <t>Fuse-0603</t>
  </si>
  <si>
    <t>Fuse-0805</t>
  </si>
  <si>
    <t>DB128L-5.08-2P-BK-S</t>
  </si>
  <si>
    <t>DB128L-5.08-3P-BK-S</t>
  </si>
  <si>
    <t>XKNANO-113</t>
  </si>
  <si>
    <t>J102K1CS33VDC.20</t>
  </si>
  <si>
    <t>IND-0603 (1608 Metric)</t>
  </si>
  <si>
    <t>LED-0603</t>
  </si>
  <si>
    <t>Test-point</t>
  </si>
  <si>
    <t>SOT-23</t>
  </si>
  <si>
    <t>Res-0402</t>
  </si>
  <si>
    <t>Res-0201</t>
  </si>
  <si>
    <t>Res-0603</t>
  </si>
  <si>
    <t>1825027-8</t>
  </si>
  <si>
    <t>TSOT-26-6</t>
  </si>
  <si>
    <t>TSOT-23-6</t>
  </si>
  <si>
    <t>SOIC-8 (208 mil)</t>
  </si>
  <si>
    <t>56-QFN (7x7)</t>
  </si>
  <si>
    <t>SOIC-8</t>
  </si>
  <si>
    <t>SIM7500E</t>
  </si>
  <si>
    <t>VSSOP-8(2x2.3x0.5)</t>
  </si>
  <si>
    <t>SOIC-16</t>
  </si>
  <si>
    <t>Manufacturer Part Number</t>
  </si>
  <si>
    <t>GRM155R62A104KE14D</t>
  </si>
  <si>
    <t>CL05A106MP5NUNC</t>
  </si>
  <si>
    <t>GRM1555C1H101JA01D</t>
  </si>
  <si>
    <t>12063D226KAT2A</t>
  </si>
  <si>
    <t>UMK105CBJ105MV-F</t>
  </si>
  <si>
    <t>CC0402KRX7R9BB103</t>
  </si>
  <si>
    <t>CC0402JRNPO9BN220</t>
  </si>
  <si>
    <t>CC0603CRNPO9BN2R2</t>
  </si>
  <si>
    <t>GRM1555C1E330JA01D</t>
  </si>
  <si>
    <t>CC0402KRX5R7BB223</t>
  </si>
  <si>
    <t>TLJB227M006R0500</t>
  </si>
  <si>
    <t>SMBJ36CA</t>
  </si>
  <si>
    <t>1N4148WS-7-F</t>
  </si>
  <si>
    <t>UDD32C03L01</t>
  </si>
  <si>
    <t>MMSZ5231BT1G</t>
  </si>
  <si>
    <t>PESD5V0H1BSFYL</t>
  </si>
  <si>
    <t>ESD5302F-3/TR</t>
  </si>
  <si>
    <t>ESD5651N-2/TR</t>
  </si>
  <si>
    <t>BZX84C3V3TS-7-F</t>
  </si>
  <si>
    <t>SMBJ26CA</t>
  </si>
  <si>
    <t>BSMD1812-150-33V</t>
  </si>
  <si>
    <t>SMD0603-050</t>
  </si>
  <si>
    <t>SMD0805P020TF</t>
  </si>
  <si>
    <t>53398-1171</t>
  </si>
  <si>
    <t>C145963</t>
  </si>
  <si>
    <t>POGO Connector 4 Pin</t>
  </si>
  <si>
    <t>HJ-SMA508</t>
  </si>
  <si>
    <t>SLF10145T-100M2R5-PF</t>
  </si>
  <si>
    <t>LVC505040-6R8M-N</t>
  </si>
  <si>
    <t>SDCL1608C2N0STDF</t>
  </si>
  <si>
    <t>19-21/R7C-AK1L2BY/3T</t>
  </si>
  <si>
    <t>19-21/G6C-FM1N2B/3T</t>
  </si>
  <si>
    <t>MMBT2222A-7-F</t>
  </si>
  <si>
    <t>WPM2015-3/TR</t>
  </si>
  <si>
    <t>RC0402FR-0739KL</t>
  </si>
  <si>
    <t>RC0201JR-07470RL</t>
  </si>
  <si>
    <t>RC0201FR-0710KL</t>
  </si>
  <si>
    <t>RC0402FR-07499RL</t>
  </si>
  <si>
    <t>RC0402FR-074K7L</t>
  </si>
  <si>
    <t>RC0402FR-070RL</t>
  </si>
  <si>
    <t>RC0402JR-071KL</t>
  </si>
  <si>
    <t>RC0402FR-0747KL</t>
  </si>
  <si>
    <t>RCS040222R0FKED</t>
  </si>
  <si>
    <t>RC0603FR-07180RL</t>
  </si>
  <si>
    <t>YC164-JR-07100KL</t>
  </si>
  <si>
    <t>AP63200WU-7</t>
  </si>
  <si>
    <t>AP63203WU-7</t>
  </si>
  <si>
    <t>W25Q64JVSSIQ TR</t>
  </si>
  <si>
    <t>ESP32-S3R8</t>
  </si>
  <si>
    <t>ATECC608B-SSHDA-B</t>
  </si>
  <si>
    <t>SMF05CT1G-ES</t>
  </si>
  <si>
    <t>TXB0102DCUT</t>
  </si>
  <si>
    <t>MAX3232IDR</t>
  </si>
  <si>
    <t>X322540MPB4SI</t>
  </si>
  <si>
    <t>Manufacturer</t>
  </si>
  <si>
    <t>Pulse</t>
  </si>
  <si>
    <t>Murata</t>
  </si>
  <si>
    <t>Samsung</t>
  </si>
  <si>
    <t>Kyocera AVX</t>
  </si>
  <si>
    <t>Taiyo Yuden</t>
  </si>
  <si>
    <t>Yageo</t>
  </si>
  <si>
    <t>Slkor(SLKORMICRO Elec.)</t>
  </si>
  <si>
    <t>Diodes</t>
  </si>
  <si>
    <t>Brightking</t>
  </si>
  <si>
    <t>ON Semiconductor</t>
  </si>
  <si>
    <t>Nexperia</t>
  </si>
  <si>
    <t>WILLSEMI</t>
  </si>
  <si>
    <t>WILLSEMI(Will Semicon)</t>
  </si>
  <si>
    <t>Diodes Incorporated</t>
  </si>
  <si>
    <t>MSKSEMI</t>
  </si>
  <si>
    <t>BHFUSE</t>
  </si>
  <si>
    <t>TECHFUSE</t>
  </si>
  <si>
    <t>RUILON</t>
  </si>
  <si>
    <t>DIBO</t>
  </si>
  <si>
    <t>Molex</t>
  </si>
  <si>
    <t>BOOMELE</t>
  </si>
  <si>
    <t>HJ Tech</t>
  </si>
  <si>
    <t>XKB Connectivity</t>
  </si>
  <si>
    <t>CIT Relay &amp; Switch</t>
  </si>
  <si>
    <t>TDK</t>
  </si>
  <si>
    <t>Chlisin Elec</t>
  </si>
  <si>
    <t>Sunlord</t>
  </si>
  <si>
    <t>Everlight Elec</t>
  </si>
  <si>
    <t>Vishay Dale</t>
  </si>
  <si>
    <t>TE Connectivity</t>
  </si>
  <si>
    <t>Winbond</t>
  </si>
  <si>
    <t>Espressif Systems</t>
  </si>
  <si>
    <t>Microchip</t>
  </si>
  <si>
    <t>SIMCom</t>
  </si>
  <si>
    <t>ElecSuper</t>
  </si>
  <si>
    <t>Texas Instruments</t>
  </si>
  <si>
    <t>Yangxing Tech</t>
  </si>
  <si>
    <t>0.1uf</t>
  </si>
  <si>
    <t>10uF</t>
  </si>
  <si>
    <t>100pF</t>
  </si>
  <si>
    <t>22uF</t>
  </si>
  <si>
    <t>1uF</t>
  </si>
  <si>
    <t>10nF</t>
  </si>
  <si>
    <t>22PF</t>
  </si>
  <si>
    <t>2.2pF</t>
  </si>
  <si>
    <t>33pF</t>
  </si>
  <si>
    <t>22nF</t>
  </si>
  <si>
    <t>220uF</t>
  </si>
  <si>
    <t>10uH</t>
  </si>
  <si>
    <t>6.8uH</t>
  </si>
  <si>
    <t>2nH</t>
  </si>
  <si>
    <t>39K</t>
  </si>
  <si>
    <t>470R</t>
  </si>
  <si>
    <t>10K</t>
  </si>
  <si>
    <t>499R</t>
  </si>
  <si>
    <t>4.7K</t>
  </si>
  <si>
    <t>0R</t>
  </si>
  <si>
    <t>1K</t>
  </si>
  <si>
    <t>47K</t>
  </si>
  <si>
    <t>22R</t>
  </si>
  <si>
    <t>180R</t>
  </si>
  <si>
    <t>100K</t>
  </si>
  <si>
    <t>40MHz</t>
  </si>
  <si>
    <t>Quantity</t>
  </si>
  <si>
    <t>Bill of Materials for Project [Light_spt_device.]</t>
  </si>
  <si>
    <t>Light_spt_device.]</t>
  </si>
  <si>
    <t>Custom</t>
  </si>
  <si>
    <t>Test Point</t>
  </si>
  <si>
    <t>Alternate Part Number</t>
  </si>
  <si>
    <t>-</t>
  </si>
  <si>
    <t>Value</t>
  </si>
  <si>
    <t>Quantity (5 Boards)</t>
  </si>
  <si>
    <t>Remarks</t>
  </si>
  <si>
    <t>Links</t>
  </si>
  <si>
    <t>Unit Cost (5 Boards)</t>
  </si>
  <si>
    <t>Total Cost (5 Boards)</t>
  </si>
  <si>
    <t>Digikey</t>
  </si>
  <si>
    <t>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</si>
</sst>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6" fillId="4" borderId="18" xfId="0" applyFont="1" applyFill="1" applyBorder="1" applyAlignment="1">
      <alignment horizontal="center" vertic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4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7" fillId="2" borderId="16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 wrapText="1"/>
    </xf>
    <xf numFmtId="165" fontId="19" fillId="2" borderId="15" xfId="0" applyNumberFormat="1" applyFont="1" applyFill="1" applyBorder="1" applyAlignment="1">
      <alignment horizontal="center" vertical="center" wrapText="1"/>
    </xf>
    <xf numFmtId="0" fontId="21" fillId="2" borderId="15" xfId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165" fontId="19" fillId="2" borderId="16" xfId="0" applyNumberFormat="1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9" xfId="0" applyNumberFormat="1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165" fontId="17" fillId="2" borderId="21" xfId="0" applyNumberFormat="1" applyFont="1" applyFill="1" applyBorder="1" applyAlignment="1">
      <alignment horizontal="center" vertical="center" wrapText="1"/>
    </xf>
    <xf numFmtId="165" fontId="17" fillId="2" borderId="22" xfId="0" applyNumberFormat="1" applyFont="1" applyFill="1" applyBorder="1" applyAlignment="1">
      <alignment horizontal="center" vertical="center" wrapText="1"/>
    </xf>
    <xf numFmtId="165" fontId="19" fillId="2" borderId="21" xfId="0" applyNumberFormat="1" applyFont="1" applyFill="1" applyBorder="1" applyAlignment="1">
      <alignment horizontal="center" vertical="center" wrapText="1"/>
    </xf>
    <xf numFmtId="165" fontId="17" fillId="2" borderId="21" xfId="0" applyNumberFormat="1" applyFont="1" applyFill="1" applyBorder="1" applyAlignment="1">
      <alignment horizontal="center" vertical="center"/>
    </xf>
    <xf numFmtId="165" fontId="19" fillId="2" borderId="22" xfId="0" applyNumberFormat="1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21" fillId="0" borderId="16" xfId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0" xfId="0" applyFill="1" applyAlignment="1">
      <alignment horizontal="center"/>
    </xf>
    <xf numFmtId="0" fontId="11" fillId="3" borderId="3" xfId="0" applyFont="1" applyFill="1" applyBorder="1" applyAlignment="1" applyProtection="1">
      <alignment horizontal="center" vertical="top"/>
      <protection locked="0"/>
    </xf>
    <xf numFmtId="0" fontId="21" fillId="0" borderId="16" xfId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kyocera-avx/TLJB227M006R0500/3068504?s=N4IgTCBcDaICoBkBSAhMYDsBZADDgbAEo4CseIAugL5A" TargetMode="External"/><Relationship Id="rId18" Type="http://schemas.openxmlformats.org/officeDocument/2006/relationships/hyperlink" Target="https://www.digikey.com/en/products/detail/molex/0533981171/699075?s=N4IgTCBcDaIAwFYDMSCcAOAjJg7JkAugL5A" TargetMode="External"/><Relationship Id="rId26" Type="http://schemas.openxmlformats.org/officeDocument/2006/relationships/hyperlink" Target="https://www.digikey.com/en/products/detail/yageo/RC0402FR-074K7L/2827563?s=N4IgTCBcDaIEoGEAMAWJYBicC0SDsKA0ngDIgC6AvkA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digikey.com/en/products/detail/diodes-incorporated/MMBT2222A-7-F/814503" TargetMode="External"/><Relationship Id="rId34" Type="http://schemas.openxmlformats.org/officeDocument/2006/relationships/hyperlink" Target="https://www.digikey.com/en/products/detail/diodes-incorporated/AP63200WU-7/9858423?s=N4IgTCBcDaIIIAUBsBmMAGdB1AqgWgHYQBdAXyA" TargetMode="External"/><Relationship Id="rId7" Type="http://schemas.openxmlformats.org/officeDocument/2006/relationships/hyperlink" Target="https://www.digikey.com/en/products/detail/taiyo-yuden/UMK105CBJ105MV-F/7403871?s=N4IgTCBcDaIKoFkDSBGADAVgMICEBS6GCAagLQBiIAugL5A" TargetMode="External"/><Relationship Id="rId12" Type="http://schemas.openxmlformats.org/officeDocument/2006/relationships/hyperlink" Target="https://www.digikey.com/en/products/detail/yageo/CC0402KRX5R7BB223/5195101?s=N4IgTCBcDaIMJwAwBZFgNICUAaBWTA7AEJFhgDMIAugL5A" TargetMode="External"/><Relationship Id="rId17" Type="http://schemas.openxmlformats.org/officeDocument/2006/relationships/hyperlink" Target="https://www.digikey.com/en/products/detail/diodes-incorporated/BZX84C3V3TS-7-F/1934541?s=N4IgTCBcDaIEIC0AaAOALAYQMwDUsBUBlAWgHZiAxEAXQF8g" TargetMode="External"/><Relationship Id="rId25" Type="http://schemas.openxmlformats.org/officeDocument/2006/relationships/hyperlink" Target="https://www.digikey.com/en/products/detail/yageo/RC0402FR-07499RL/726623?s=N4IgTCBcDaIEoGEAMAWJYBicC0SDsKAnIXADIgC6AvkA" TargetMode="External"/><Relationship Id="rId33" Type="http://schemas.openxmlformats.org/officeDocument/2006/relationships/hyperlink" Target="https://www.digikey.com/en/products/detail/te-connectivity-alcoswitch-switches/1825027-8/1632543?s=N4IgTCBcDaIIwA4wFYAMYDsBaBIC6AvkA" TargetMode="External"/><Relationship Id="rId38" Type="http://schemas.openxmlformats.org/officeDocument/2006/relationships/hyperlink" Target="https://www.digikey.com/en/products/detail/texas-instruments/TXB0102DCUT/1910149" TargetMode="External"/><Relationship Id="rId2" Type="http://schemas.openxmlformats.org/officeDocument/2006/relationships/hyperlink" Target="https://www.digikey.com/en/products/detail/pulse-electronics/W3011/3025804" TargetMode="External"/><Relationship Id="rId16" Type="http://schemas.openxmlformats.org/officeDocument/2006/relationships/hyperlink" Target="https://www.digikey.com/en/products/detail/nexperia-usa-inc/PESD5V0H1BSFYL/5981341?s=N4IgTCBcDaIAoFEDKARArANQAwAkCMAQkgGICaAMiALoC%2BQA" TargetMode="External"/><Relationship Id="rId20" Type="http://schemas.openxmlformats.org/officeDocument/2006/relationships/hyperlink" Target="https://www.digikey.com/en/products/detail/tdk-corporation/SLF10145T-100M2R5-PF/755327?s=N4IgTCBcDaIMoBkBiBGADCgLAVgCoFp00BZMAJW3wAUkQBdAXyA" TargetMode="External"/><Relationship Id="rId29" Type="http://schemas.openxmlformats.org/officeDocument/2006/relationships/hyperlink" Target="https://www.digikey.com/en/products/detail/yageo/RC0402FR-0747KL/726616?s=N4IgTCBcDaIEoGEAMAWJYBicC0SDsKeA0gDIgC6AvkA" TargetMode="External"/><Relationship Id="rId1" Type="http://schemas.openxmlformats.org/officeDocument/2006/relationships/hyperlink" Target="https://www.digikey.com/en/products/detail/espressif-systems/ESP32-S3R8/15822451" TargetMode="External"/><Relationship Id="rId6" Type="http://schemas.openxmlformats.org/officeDocument/2006/relationships/hyperlink" Target="https://www.digikey.com/en/products/detail/kyocera-avx/KGM31HR51E226KU/6148999?s=N4IgTCBcDaIIxgAwDYDMARMZkGkCCAKmHiALoC%2BQA" TargetMode="External"/><Relationship Id="rId11" Type="http://schemas.openxmlformats.org/officeDocument/2006/relationships/hyperlink" Target="https://www.digikey.com/en/products/detail/murata-electronics/GRM1555C1E330JA01D/3693730?s=N4IgTCBcDaIOICUCyBGArBgwigogZjwAYApAQUJQBEQBdAXyA" TargetMode="External"/><Relationship Id="rId24" Type="http://schemas.openxmlformats.org/officeDocument/2006/relationships/hyperlink" Target="https://www.digikey.com/en/products/detail/yageo/RC0201FR-0710KL/1948870?s=N4IgTCBcDaIEoGEAMYkEYBicC0SDsaSA0gDIgC6AvkA" TargetMode="External"/><Relationship Id="rId32" Type="http://schemas.openxmlformats.org/officeDocument/2006/relationships/hyperlink" Target="https://www.digikey.com/en/products/detail/yageo/YC164-JR-07100KL/1005169?s=N4IgTCBcDaIJoGECMA2ALAWgFICUMAYB2JffAaQBkQBdAXyA" TargetMode="External"/><Relationship Id="rId37" Type="http://schemas.openxmlformats.org/officeDocument/2006/relationships/hyperlink" Target="https://www.digikey.com/en/products/detail/microchip-technology/ATECC608B-SSHDA-B/13415061?s=N4IgTCBcDaIIIBUCiBhFA2ADADgEIFoBlQgCQBE59cQBdAXyA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www.digikey.com/en/products/detail/murata-electronics/GRM1555C1H101JA01D/3693829?s=N4IgTCBcDaIOICUCyBGArBgwigEigDCgFICChAIiALoC%2BQA" TargetMode="External"/><Relationship Id="rId15" Type="http://schemas.openxmlformats.org/officeDocument/2006/relationships/hyperlink" Target="https://www.digikey.com/en/products/detail/onsemi/MMSZ5231BT1G/919749" TargetMode="External"/><Relationship Id="rId23" Type="http://schemas.openxmlformats.org/officeDocument/2006/relationships/hyperlink" Target="https://www.digikey.com/en/products/detail/yageo/RC0201JR-07470RL/1948953?s=N4IgTCBcDaIEoGEAMYkEYBScC0SDsALHknADIgC6AvkA" TargetMode="External"/><Relationship Id="rId28" Type="http://schemas.openxmlformats.org/officeDocument/2006/relationships/hyperlink" Target="https://www.digikey.com/en/products/detail/yageo/RC0402JR-071KL/726408?s=N4IgTCBcDaIEoGEAMAWJYBScC0SDsAjANIAyIAugL5A" TargetMode="External"/><Relationship Id="rId36" Type="http://schemas.openxmlformats.org/officeDocument/2006/relationships/hyperlink" Target="https://www.digikey.com/en/products/detail/winbond-electronics/W25Q64JVSSIQ-TR/5803993?s=N4IgTCBcDaIOpgKwEUBsAWAUgNQMq4ElkACAFQCUQBdAXyA" TargetMode="External"/><Relationship Id="rId10" Type="http://schemas.openxmlformats.org/officeDocument/2006/relationships/hyperlink" Target="https://www.digikey.com/en/products/detail/yageo/CC0603CRNPO9BN2R2/5195148?s=N4IgTCBcDaIMJwAwDZEGY4CUByAFA8gJwBC2YmEAugL5A" TargetMode="External"/><Relationship Id="rId19" Type="http://schemas.openxmlformats.org/officeDocument/2006/relationships/hyperlink" Target="https://www.digikey.com/en/products/detail/cit-relay-and-switch/J102K1CS33VDC-20/14002013?s=N4IgTCBcDaIFIEYAMYDSCDCBlAzDgagCIYB0YSIAugL5A" TargetMode="External"/><Relationship Id="rId31" Type="http://schemas.openxmlformats.org/officeDocument/2006/relationships/hyperlink" Target="https://www.digikey.com/en/products/detail/yageo/RC0603FR-07180RL/726994?s=N4IgTCBcDaIEoGEAMA2JBmAYnAtEg7AIwAcScAMiALoC%2BQA" TargetMode="External"/><Relationship Id="rId4" Type="http://schemas.openxmlformats.org/officeDocument/2006/relationships/hyperlink" Target="https://www.digikey.com/en/products/detail/samsung-electro-mechanics/CL05A106MP5NUNC/3887108?s=N4IgTCBcDaIMIBkAMBWAggRiQNgLIAUUA5AVSLhAF0BfIA" TargetMode="External"/><Relationship Id="rId9" Type="http://schemas.openxmlformats.org/officeDocument/2006/relationships/hyperlink" Target="https://www.digikey.com/en/products/detail/yageo/CC0402JRNPO9BN220/302752?s=N4IgTCBcDaIMJwAwBZFgFICUByAFA8gJwBC2YYiIAugL5A" TargetMode="External"/><Relationship Id="rId14" Type="http://schemas.openxmlformats.org/officeDocument/2006/relationships/hyperlink" Target="https://www.digikey.com/en/products/detail/diodes-incorporated/1N4148WS-7-F/815127?s=N4IgTCBcDaIIwDkAsckA4DqBlAtAdhwDEQBdAXyA" TargetMode="External"/><Relationship Id="rId22" Type="http://schemas.openxmlformats.org/officeDocument/2006/relationships/hyperlink" Target="https://www.digikey.com/en/products/detail/yageo/RC0402FR-0739KL/726601?s=N4IgTCBcDaIEoGEAMAWJYBicC0SDsAzAJwDSAMiALoC%2BQA" TargetMode="External"/><Relationship Id="rId27" Type="http://schemas.openxmlformats.org/officeDocument/2006/relationships/hyperlink" Target="https://www.digikey.com/en/products/detail/yageo/RC0402FR-070RL/2827570?s=N4IgTCBcDaIEoGEAMAWJYBicC0SDsScAMiALoC%2BQA" TargetMode="External"/><Relationship Id="rId30" Type="http://schemas.openxmlformats.org/officeDocument/2006/relationships/hyperlink" Target="https://www.digikey.com/en/products/detail/vishay-dale/RCS040222R0FKED/5867026?s=N4IgTCBcDaIEoGEDKAGALCsW4oGIGkBRAERAF0BfIA" TargetMode="External"/><Relationship Id="rId35" Type="http://schemas.openxmlformats.org/officeDocument/2006/relationships/hyperlink" Target="https://www.digikey.com/en/products/detail/diodes-incorporated/AP63203WU-7/9858426?s=N4IgTCBcDaIIIAUBsBmMAGFB1AqgWgHYQBdAXyA" TargetMode="External"/><Relationship Id="rId8" Type="http://schemas.openxmlformats.org/officeDocument/2006/relationships/hyperlink" Target="https://www.digikey.com/en/products/detail/yageo/CC0402KRX7R9BB103/2103087?s=N4IgTCBcDaIMJwAwBZFgNICUAaB2TAnAEJECMiAzCALoC%2BQA" TargetMode="External"/><Relationship Id="rId3" Type="http://schemas.openxmlformats.org/officeDocument/2006/relationships/hyperlink" Target="https://www.digikey.com/en/products/detail/murata-electronics/GRM155R62A104KE14D/5027543?s=N4IgTCBcDaIOICUCyBGArGhA2MBBFADACwDSAoikQCI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74"/>
  <sheetViews>
    <sheetView tabSelected="1" topLeftCell="A55" workbookViewId="0">
      <selection activeCell="E82" sqref="E82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8.42578125" style="25" bestFit="1" customWidth="1"/>
    <col min="14" max="14" width="18.7109375" bestFit="1" customWidth="1"/>
    <col min="15" max="15" width="19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46"/>
      <c r="K1" s="46"/>
      <c r="L1" s="46"/>
      <c r="M1" s="46"/>
      <c r="N1" s="46"/>
      <c r="O1" s="46"/>
      <c r="P1" s="46"/>
    </row>
    <row r="2" spans="1:16" ht="32.25" thickBot="1" x14ac:dyDescent="0.3">
      <c r="A2" s="1"/>
      <c r="B2" s="20"/>
      <c r="C2" s="35"/>
      <c r="D2" s="10" t="s">
        <v>0</v>
      </c>
      <c r="E2" s="10"/>
      <c r="F2" s="42" t="s">
        <v>309</v>
      </c>
      <c r="G2" s="11"/>
      <c r="H2" s="11"/>
      <c r="I2" s="3"/>
      <c r="J2" s="3"/>
      <c r="K2" s="3"/>
      <c r="L2" s="3"/>
      <c r="M2" s="86"/>
      <c r="N2" s="3"/>
      <c r="O2" s="3"/>
      <c r="P2" s="32"/>
    </row>
    <row r="3" spans="1:16" x14ac:dyDescent="0.25">
      <c r="A3" s="1"/>
      <c r="B3" s="21"/>
      <c r="C3" s="36"/>
      <c r="D3" s="12" t="s">
        <v>1</v>
      </c>
      <c r="E3" s="12"/>
      <c r="F3" s="43" t="s">
        <v>310</v>
      </c>
      <c r="G3" s="12"/>
      <c r="H3" s="12"/>
      <c r="I3" s="4"/>
      <c r="J3" s="4"/>
      <c r="K3" s="4"/>
      <c r="L3" s="4"/>
      <c r="M3" s="87"/>
      <c r="N3" s="4"/>
      <c r="O3" s="4"/>
      <c r="P3" s="47"/>
    </row>
    <row r="4" spans="1:16" x14ac:dyDescent="0.25">
      <c r="A4" s="1"/>
      <c r="B4" s="21"/>
      <c r="C4" s="36"/>
      <c r="D4" s="12" t="s">
        <v>2</v>
      </c>
      <c r="E4" s="12"/>
      <c r="F4" s="44" t="s">
        <v>310</v>
      </c>
      <c r="G4" s="13"/>
      <c r="H4" s="13"/>
      <c r="I4" s="6"/>
      <c r="J4" s="6"/>
      <c r="K4" s="6"/>
      <c r="L4" s="6"/>
      <c r="M4" s="88"/>
      <c r="N4" s="5"/>
      <c r="O4" s="5"/>
      <c r="P4" s="48"/>
    </row>
    <row r="5" spans="1:16" x14ac:dyDescent="0.25">
      <c r="A5" s="1"/>
      <c r="B5" s="21"/>
      <c r="C5" s="36"/>
      <c r="D5" s="12" t="s">
        <v>3</v>
      </c>
      <c r="E5" s="12"/>
      <c r="F5" s="45" t="s">
        <v>5</v>
      </c>
      <c r="G5" s="14"/>
      <c r="H5" s="14"/>
      <c r="I5" s="5"/>
      <c r="J5" s="5"/>
      <c r="K5" s="5"/>
      <c r="L5" s="5"/>
      <c r="M5" s="88"/>
      <c r="N5" s="5"/>
      <c r="O5" s="5"/>
      <c r="P5" s="48"/>
    </row>
    <row r="6" spans="1:16" x14ac:dyDescent="0.25">
      <c r="A6" s="1"/>
      <c r="B6" s="22"/>
      <c r="C6" s="37"/>
      <c r="D6" s="15"/>
      <c r="E6" s="15"/>
      <c r="F6" s="16"/>
      <c r="G6" s="14"/>
      <c r="H6" s="14"/>
      <c r="I6" s="5"/>
      <c r="J6" s="5"/>
      <c r="K6" s="5"/>
      <c r="L6" s="5"/>
      <c r="M6" s="88"/>
      <c r="N6" s="5"/>
      <c r="O6" s="5"/>
      <c r="P6" s="48"/>
    </row>
    <row r="7" spans="1:16" x14ac:dyDescent="0.25">
      <c r="A7" s="1"/>
      <c r="B7" s="23"/>
      <c r="C7" s="38"/>
      <c r="D7" s="17"/>
      <c r="E7" s="17"/>
      <c r="F7" s="18"/>
      <c r="G7" s="17"/>
      <c r="H7" s="17"/>
      <c r="I7" s="7"/>
      <c r="J7" s="7"/>
      <c r="K7" s="7"/>
      <c r="L7" s="7"/>
      <c r="M7" s="89"/>
      <c r="N7" s="7"/>
      <c r="O7" s="7"/>
      <c r="P7" s="48"/>
    </row>
    <row r="8" spans="1:16" ht="15.75" thickBot="1" x14ac:dyDescent="0.3">
      <c r="A8" s="1"/>
      <c r="B8" s="26"/>
      <c r="C8" s="39"/>
      <c r="D8" s="27"/>
      <c r="E8" s="27"/>
      <c r="F8" s="28"/>
      <c r="G8" s="17"/>
      <c r="H8" s="17"/>
      <c r="I8" s="7"/>
      <c r="J8" s="7"/>
      <c r="K8" s="7"/>
      <c r="L8" s="7"/>
      <c r="M8" s="89"/>
      <c r="N8" s="7"/>
      <c r="O8" s="7"/>
      <c r="P8" s="48"/>
    </row>
    <row r="9" spans="1:16" ht="15.75" thickBot="1" x14ac:dyDescent="0.3">
      <c r="A9" s="1"/>
      <c r="B9" s="29" t="s">
        <v>4</v>
      </c>
      <c r="C9" s="29" t="s">
        <v>6</v>
      </c>
      <c r="D9" s="29" t="s">
        <v>25</v>
      </c>
      <c r="E9" s="29" t="s">
        <v>89</v>
      </c>
      <c r="F9" s="29" t="s">
        <v>152</v>
      </c>
      <c r="G9" s="29" t="s">
        <v>189</v>
      </c>
      <c r="H9" s="29" t="s">
        <v>313</v>
      </c>
      <c r="I9" s="29" t="s">
        <v>244</v>
      </c>
      <c r="J9" s="29" t="s">
        <v>315</v>
      </c>
      <c r="K9" s="29" t="s">
        <v>308</v>
      </c>
      <c r="L9" s="41" t="s">
        <v>316</v>
      </c>
      <c r="M9" s="29" t="s">
        <v>318</v>
      </c>
      <c r="N9" s="85" t="s">
        <v>319</v>
      </c>
      <c r="O9" s="29" t="s">
        <v>320</v>
      </c>
      <c r="P9" s="29" t="s">
        <v>317</v>
      </c>
    </row>
    <row r="10" spans="1:16" x14ac:dyDescent="0.25">
      <c r="A10" s="1"/>
      <c r="B10" s="49">
        <f>ROW(B10) - ROW($B$9)</f>
        <v>1</v>
      </c>
      <c r="C10" s="50" t="s">
        <v>7</v>
      </c>
      <c r="D10" s="51" t="s">
        <v>26</v>
      </c>
      <c r="E10" s="51"/>
      <c r="F10" s="51" t="s">
        <v>311</v>
      </c>
      <c r="G10" s="51" t="s">
        <v>153</v>
      </c>
      <c r="H10" s="51" t="s">
        <v>314</v>
      </c>
      <c r="I10" s="51" t="s">
        <v>314</v>
      </c>
      <c r="J10" s="51" t="s">
        <v>314</v>
      </c>
      <c r="K10" s="51">
        <v>1</v>
      </c>
      <c r="L10" s="79">
        <f>K10*5</f>
        <v>5</v>
      </c>
      <c r="M10" s="51" t="s">
        <v>314</v>
      </c>
      <c r="N10" s="84" t="s">
        <v>314</v>
      </c>
      <c r="O10" s="66" t="s">
        <v>314</v>
      </c>
      <c r="P10" s="30"/>
    </row>
    <row r="11" spans="1:16" x14ac:dyDescent="0.25">
      <c r="A11" s="1"/>
      <c r="B11" s="52">
        <f t="shared" ref="B11:B71" si="0">ROW(B11) - ROW($B$9)</f>
        <v>2</v>
      </c>
      <c r="C11" s="50" t="s">
        <v>7</v>
      </c>
      <c r="D11" s="31" t="s">
        <v>27</v>
      </c>
      <c r="E11" s="31" t="s">
        <v>90</v>
      </c>
      <c r="F11" s="31" t="s">
        <v>311</v>
      </c>
      <c r="G11" s="31" t="s">
        <v>154</v>
      </c>
      <c r="H11" s="30" t="s">
        <v>314</v>
      </c>
      <c r="I11" s="31" t="s">
        <v>245</v>
      </c>
      <c r="J11" s="30" t="s">
        <v>314</v>
      </c>
      <c r="K11" s="31">
        <v>1</v>
      </c>
      <c r="L11" s="75">
        <f t="shared" ref="L11" si="1">K11*5</f>
        <v>5</v>
      </c>
      <c r="M11" s="67" t="s">
        <v>321</v>
      </c>
      <c r="N11" s="81">
        <v>1.59</v>
      </c>
      <c r="O11" s="69">
        <f t="shared" ref="O11" si="2">N11*L11</f>
        <v>7.95</v>
      </c>
      <c r="P11" s="31"/>
    </row>
    <row r="12" spans="1:16" ht="36" x14ac:dyDescent="0.25">
      <c r="A12" s="1"/>
      <c r="B12" s="49">
        <f>ROW(B12) - ROW($B$9)</f>
        <v>3</v>
      </c>
      <c r="C12" s="53" t="s">
        <v>8</v>
      </c>
      <c r="D12" s="30" t="s">
        <v>28</v>
      </c>
      <c r="E12" s="30" t="s">
        <v>91</v>
      </c>
      <c r="F12" s="30" t="s">
        <v>155</v>
      </c>
      <c r="G12" s="30" t="s">
        <v>190</v>
      </c>
      <c r="H12" s="30" t="s">
        <v>314</v>
      </c>
      <c r="I12" s="30" t="s">
        <v>246</v>
      </c>
      <c r="J12" s="30" t="s">
        <v>282</v>
      </c>
      <c r="K12" s="30">
        <v>23</v>
      </c>
      <c r="L12" s="76">
        <f>K12*5</f>
        <v>115</v>
      </c>
      <c r="M12" s="70" t="s">
        <v>321</v>
      </c>
      <c r="N12" s="81">
        <v>1.03E-2</v>
      </c>
      <c r="O12" s="68">
        <f>N12*L12</f>
        <v>1.1845000000000001</v>
      </c>
      <c r="P12" s="30"/>
    </row>
    <row r="13" spans="1:16" x14ac:dyDescent="0.25">
      <c r="A13" s="1"/>
      <c r="B13" s="52">
        <f t="shared" si="0"/>
        <v>4</v>
      </c>
      <c r="C13" s="50" t="s">
        <v>8</v>
      </c>
      <c r="D13" s="31" t="s">
        <v>29</v>
      </c>
      <c r="E13" s="31" t="s">
        <v>92</v>
      </c>
      <c r="F13" s="31" t="s">
        <v>155</v>
      </c>
      <c r="G13" s="31" t="s">
        <v>191</v>
      </c>
      <c r="H13" s="31" t="s">
        <v>314</v>
      </c>
      <c r="I13" s="31" t="s">
        <v>247</v>
      </c>
      <c r="J13" s="31" t="s">
        <v>283</v>
      </c>
      <c r="K13" s="31">
        <v>3</v>
      </c>
      <c r="L13" s="75">
        <f t="shared" ref="L13" si="3">K13*5</f>
        <v>15</v>
      </c>
      <c r="M13" s="90" t="s">
        <v>321</v>
      </c>
      <c r="N13" s="80">
        <v>0.121</v>
      </c>
      <c r="O13" s="69">
        <f t="shared" ref="O13" si="4">N13*L13</f>
        <v>1.8149999999999999</v>
      </c>
      <c r="P13" s="31"/>
    </row>
    <row r="14" spans="1:16" x14ac:dyDescent="0.25">
      <c r="A14" s="1"/>
      <c r="B14" s="49">
        <f>ROW(B14) - ROW($B$9)</f>
        <v>5</v>
      </c>
      <c r="C14" s="50" t="s">
        <v>8</v>
      </c>
      <c r="D14" s="30" t="s">
        <v>30</v>
      </c>
      <c r="E14" s="30" t="s">
        <v>93</v>
      </c>
      <c r="F14" s="30" t="s">
        <v>155</v>
      </c>
      <c r="G14" s="30" t="s">
        <v>192</v>
      </c>
      <c r="H14" s="30" t="s">
        <v>314</v>
      </c>
      <c r="I14" s="30" t="s">
        <v>246</v>
      </c>
      <c r="J14" s="30" t="s">
        <v>284</v>
      </c>
      <c r="K14" s="30">
        <v>1</v>
      </c>
      <c r="L14" s="76">
        <f>K14*5</f>
        <v>5</v>
      </c>
      <c r="M14" s="90" t="s">
        <v>321</v>
      </c>
      <c r="N14" s="81">
        <v>0.1</v>
      </c>
      <c r="O14" s="68">
        <f>N14*L14</f>
        <v>0.5</v>
      </c>
      <c r="P14" s="30"/>
    </row>
    <row r="15" spans="1:16" x14ac:dyDescent="0.25">
      <c r="A15" s="1"/>
      <c r="B15" s="52">
        <f t="shared" si="0"/>
        <v>6</v>
      </c>
      <c r="C15" s="50" t="s">
        <v>8</v>
      </c>
      <c r="D15" s="31" t="s">
        <v>31</v>
      </c>
      <c r="E15" s="31" t="s">
        <v>94</v>
      </c>
      <c r="F15" s="31" t="s">
        <v>156</v>
      </c>
      <c r="G15" s="31" t="s">
        <v>193</v>
      </c>
      <c r="H15" s="31" t="s">
        <v>314</v>
      </c>
      <c r="I15" s="31" t="s">
        <v>248</v>
      </c>
      <c r="J15" s="31" t="s">
        <v>285</v>
      </c>
      <c r="K15" s="31">
        <v>4</v>
      </c>
      <c r="L15" s="75">
        <f t="shared" ref="L15" si="5">K15*5</f>
        <v>20</v>
      </c>
      <c r="M15" s="90" t="s">
        <v>321</v>
      </c>
      <c r="N15" s="80">
        <v>0.78600000000000003</v>
      </c>
      <c r="O15" s="69">
        <f t="shared" ref="O15" si="6">N15*L15</f>
        <v>15.72</v>
      </c>
      <c r="P15" s="31"/>
    </row>
    <row r="16" spans="1:16" x14ac:dyDescent="0.25">
      <c r="A16" s="1"/>
      <c r="B16" s="49">
        <f>ROW(B16) - ROW($B$9)</f>
        <v>7</v>
      </c>
      <c r="C16" s="53" t="s">
        <v>8</v>
      </c>
      <c r="D16" s="30" t="s">
        <v>32</v>
      </c>
      <c r="E16" s="30" t="s">
        <v>95</v>
      </c>
      <c r="F16" s="30" t="s">
        <v>155</v>
      </c>
      <c r="G16" s="65" t="s">
        <v>194</v>
      </c>
      <c r="H16" s="30" t="s">
        <v>314</v>
      </c>
      <c r="I16" s="30" t="s">
        <v>249</v>
      </c>
      <c r="J16" s="30" t="s">
        <v>286</v>
      </c>
      <c r="K16" s="30">
        <v>5</v>
      </c>
      <c r="L16" s="76">
        <f>K16*5</f>
        <v>25</v>
      </c>
      <c r="M16" s="90" t="s">
        <v>321</v>
      </c>
      <c r="N16" s="81">
        <v>0.161</v>
      </c>
      <c r="O16" s="68">
        <f>N16*L16</f>
        <v>4.0250000000000004</v>
      </c>
      <c r="P16" s="30"/>
    </row>
    <row r="17" spans="1:16" x14ac:dyDescent="0.25">
      <c r="A17" s="1"/>
      <c r="B17" s="52">
        <f t="shared" si="0"/>
        <v>8</v>
      </c>
      <c r="C17" s="50" t="s">
        <v>8</v>
      </c>
      <c r="D17" s="31" t="s">
        <v>33</v>
      </c>
      <c r="E17" s="31" t="s">
        <v>96</v>
      </c>
      <c r="F17" s="31" t="s">
        <v>155</v>
      </c>
      <c r="G17" s="31" t="s">
        <v>195</v>
      </c>
      <c r="H17" s="31" t="s">
        <v>314</v>
      </c>
      <c r="I17" s="31" t="s">
        <v>250</v>
      </c>
      <c r="J17" s="31" t="s">
        <v>287</v>
      </c>
      <c r="K17" s="31">
        <v>2</v>
      </c>
      <c r="L17" s="75">
        <f t="shared" ref="L17" si="7">K17*5</f>
        <v>10</v>
      </c>
      <c r="M17" s="90" t="s">
        <v>321</v>
      </c>
      <c r="N17" s="80">
        <v>1.6E-2</v>
      </c>
      <c r="O17" s="69">
        <f t="shared" ref="O17" si="8">N17*L17</f>
        <v>0.16</v>
      </c>
      <c r="P17" s="31"/>
    </row>
    <row r="18" spans="1:16" x14ac:dyDescent="0.25">
      <c r="A18" s="1"/>
      <c r="B18" s="49">
        <f>ROW(B18) - ROW($B$9)</f>
        <v>9</v>
      </c>
      <c r="C18" s="53" t="s">
        <v>8</v>
      </c>
      <c r="D18" s="30" t="s">
        <v>34</v>
      </c>
      <c r="E18" s="30" t="s">
        <v>97</v>
      </c>
      <c r="F18" s="30" t="s">
        <v>155</v>
      </c>
      <c r="G18" s="30" t="s">
        <v>196</v>
      </c>
      <c r="H18" s="30" t="s">
        <v>314</v>
      </c>
      <c r="I18" s="30" t="s">
        <v>250</v>
      </c>
      <c r="J18" s="30" t="s">
        <v>288</v>
      </c>
      <c r="K18" s="30">
        <v>5</v>
      </c>
      <c r="L18" s="76">
        <f>K18*5</f>
        <v>25</v>
      </c>
      <c r="M18" s="90" t="s">
        <v>321</v>
      </c>
      <c r="N18" s="81">
        <v>1.9E-2</v>
      </c>
      <c r="O18" s="68">
        <f>N18*L18</f>
        <v>0.47499999999999998</v>
      </c>
      <c r="P18" s="30"/>
    </row>
    <row r="19" spans="1:16" x14ac:dyDescent="0.25">
      <c r="A19" s="1"/>
      <c r="B19" s="52">
        <f t="shared" si="0"/>
        <v>10</v>
      </c>
      <c r="C19" s="50" t="s">
        <v>8</v>
      </c>
      <c r="D19" s="31" t="s">
        <v>35</v>
      </c>
      <c r="E19" s="31" t="s">
        <v>98</v>
      </c>
      <c r="F19" s="31" t="s">
        <v>157</v>
      </c>
      <c r="G19" s="31" t="s">
        <v>197</v>
      </c>
      <c r="H19" s="31" t="s">
        <v>314</v>
      </c>
      <c r="I19" s="31" t="s">
        <v>250</v>
      </c>
      <c r="J19" s="31" t="s">
        <v>289</v>
      </c>
      <c r="K19" s="31">
        <v>1</v>
      </c>
      <c r="L19" s="75">
        <f t="shared" ref="L19" si="9">K19*5</f>
        <v>5</v>
      </c>
      <c r="M19" s="90" t="s">
        <v>321</v>
      </c>
      <c r="N19" s="80">
        <v>0.1</v>
      </c>
      <c r="O19" s="69">
        <f t="shared" ref="O19" si="10">N19*L19</f>
        <v>0.5</v>
      </c>
      <c r="P19" s="31"/>
    </row>
    <row r="20" spans="1:16" x14ac:dyDescent="0.25">
      <c r="A20" s="1"/>
      <c r="B20" s="49">
        <f>ROW(B20) - ROW($B$9)</f>
        <v>11</v>
      </c>
      <c r="C20" s="50" t="s">
        <v>8</v>
      </c>
      <c r="D20" s="30" t="s">
        <v>36</v>
      </c>
      <c r="E20" s="30" t="s">
        <v>99</v>
      </c>
      <c r="F20" s="30" t="s">
        <v>155</v>
      </c>
      <c r="G20" s="30" t="s">
        <v>198</v>
      </c>
      <c r="H20" s="30" t="s">
        <v>314</v>
      </c>
      <c r="I20" s="30" t="s">
        <v>246</v>
      </c>
      <c r="J20" s="30" t="s">
        <v>290</v>
      </c>
      <c r="K20" s="30">
        <v>1</v>
      </c>
      <c r="L20" s="76">
        <f>K20*5</f>
        <v>5</v>
      </c>
      <c r="M20" s="90" t="s">
        <v>321</v>
      </c>
      <c r="N20" s="81">
        <v>0.1</v>
      </c>
      <c r="O20" s="68">
        <f>N20*L20</f>
        <v>0.5</v>
      </c>
      <c r="P20" s="30"/>
    </row>
    <row r="21" spans="1:16" x14ac:dyDescent="0.25">
      <c r="A21" s="1"/>
      <c r="B21" s="52">
        <f t="shared" si="0"/>
        <v>12</v>
      </c>
      <c r="C21" s="50" t="s">
        <v>8</v>
      </c>
      <c r="D21" s="31" t="s">
        <v>37</v>
      </c>
      <c r="E21" s="31" t="s">
        <v>100</v>
      </c>
      <c r="F21" s="31" t="s">
        <v>155</v>
      </c>
      <c r="G21" s="31" t="s">
        <v>199</v>
      </c>
      <c r="H21" s="31" t="s">
        <v>314</v>
      </c>
      <c r="I21" s="31" t="s">
        <v>250</v>
      </c>
      <c r="J21" s="31" t="s">
        <v>291</v>
      </c>
      <c r="K21" s="31">
        <v>1</v>
      </c>
      <c r="L21" s="75">
        <f t="shared" ref="L21" si="11">K21*5</f>
        <v>5</v>
      </c>
      <c r="M21" s="90" t="s">
        <v>321</v>
      </c>
      <c r="N21" s="80">
        <v>0.1</v>
      </c>
      <c r="O21" s="69">
        <f t="shared" ref="O21" si="12">N21*L21</f>
        <v>0.5</v>
      </c>
      <c r="P21" s="31"/>
    </row>
    <row r="22" spans="1:16" x14ac:dyDescent="0.25">
      <c r="A22" s="1"/>
      <c r="B22" s="49">
        <f>ROW(B22) - ROW($B$9)</f>
        <v>13</v>
      </c>
      <c r="C22" s="53" t="s">
        <v>8</v>
      </c>
      <c r="D22" s="30" t="s">
        <v>38</v>
      </c>
      <c r="E22" s="30" t="s">
        <v>101</v>
      </c>
      <c r="F22" s="30" t="s">
        <v>158</v>
      </c>
      <c r="G22" s="30" t="s">
        <v>200</v>
      </c>
      <c r="H22" s="30" t="s">
        <v>314</v>
      </c>
      <c r="I22" s="30" t="s">
        <v>248</v>
      </c>
      <c r="J22" s="30" t="s">
        <v>292</v>
      </c>
      <c r="K22" s="30">
        <v>1</v>
      </c>
      <c r="L22" s="76">
        <f>K22*5</f>
        <v>5</v>
      </c>
      <c r="M22" s="90" t="s">
        <v>321</v>
      </c>
      <c r="N22" s="81">
        <v>0.99</v>
      </c>
      <c r="O22" s="68">
        <f>N22*L22</f>
        <v>4.95</v>
      </c>
      <c r="P22" s="30"/>
    </row>
    <row r="23" spans="1:16" ht="30" x14ac:dyDescent="0.25">
      <c r="A23" s="1"/>
      <c r="B23" s="52">
        <f t="shared" si="0"/>
        <v>14</v>
      </c>
      <c r="C23" s="50" t="s">
        <v>9</v>
      </c>
      <c r="D23" s="31" t="s">
        <v>39</v>
      </c>
      <c r="E23" s="31" t="s">
        <v>102</v>
      </c>
      <c r="F23" s="31" t="s">
        <v>159</v>
      </c>
      <c r="G23" s="31" t="s">
        <v>201</v>
      </c>
      <c r="H23" s="31" t="s">
        <v>314</v>
      </c>
      <c r="I23" s="31" t="s">
        <v>251</v>
      </c>
      <c r="J23" s="30" t="s">
        <v>314</v>
      </c>
      <c r="K23" s="31">
        <v>1</v>
      </c>
      <c r="L23" s="75">
        <f t="shared" ref="L23" si="13">K23*5</f>
        <v>5</v>
      </c>
      <c r="M23" s="94" t="s">
        <v>322</v>
      </c>
      <c r="N23" s="80" t="s">
        <v>314</v>
      </c>
      <c r="O23" s="69" t="s">
        <v>314</v>
      </c>
      <c r="P23" s="31"/>
    </row>
    <row r="24" spans="1:16" x14ac:dyDescent="0.25">
      <c r="A24" s="1"/>
      <c r="B24" s="49">
        <f>ROW(B24) - ROW($B$9)</f>
        <v>15</v>
      </c>
      <c r="C24" s="53" t="s">
        <v>9</v>
      </c>
      <c r="D24" s="30" t="s">
        <v>40</v>
      </c>
      <c r="E24" s="30" t="s">
        <v>103</v>
      </c>
      <c r="F24" s="30" t="s">
        <v>160</v>
      </c>
      <c r="G24" s="30" t="s">
        <v>202</v>
      </c>
      <c r="H24" s="30" t="s">
        <v>314</v>
      </c>
      <c r="I24" s="30" t="s">
        <v>252</v>
      </c>
      <c r="J24" s="31" t="s">
        <v>314</v>
      </c>
      <c r="K24" s="30">
        <v>2</v>
      </c>
      <c r="L24" s="76">
        <f>K24*5</f>
        <v>10</v>
      </c>
      <c r="M24" s="90" t="s">
        <v>321</v>
      </c>
      <c r="N24" s="81">
        <v>0.159</v>
      </c>
      <c r="O24" s="68">
        <f>N24*L24</f>
        <v>1.59</v>
      </c>
      <c r="P24" s="30"/>
    </row>
    <row r="25" spans="1:16" ht="30" x14ac:dyDescent="0.25">
      <c r="A25" s="1"/>
      <c r="B25" s="52">
        <f t="shared" si="0"/>
        <v>16</v>
      </c>
      <c r="C25" s="50" t="s">
        <v>10</v>
      </c>
      <c r="D25" s="31" t="s">
        <v>41</v>
      </c>
      <c r="E25" s="31" t="s">
        <v>104</v>
      </c>
      <c r="F25" s="31" t="s">
        <v>160</v>
      </c>
      <c r="G25" s="31" t="s">
        <v>203</v>
      </c>
      <c r="H25" s="31" t="s">
        <v>314</v>
      </c>
      <c r="I25" s="31" t="s">
        <v>253</v>
      </c>
      <c r="J25" s="30" t="s">
        <v>314</v>
      </c>
      <c r="K25" s="31">
        <v>1</v>
      </c>
      <c r="L25" s="75">
        <f t="shared" ref="L25" si="14">K25*5</f>
        <v>5</v>
      </c>
      <c r="M25" s="94" t="s">
        <v>322</v>
      </c>
      <c r="N25" s="80" t="s">
        <v>314</v>
      </c>
      <c r="O25" s="69" t="s">
        <v>314</v>
      </c>
      <c r="P25" s="31"/>
    </row>
    <row r="26" spans="1:16" x14ac:dyDescent="0.25">
      <c r="A26" s="1"/>
      <c r="B26" s="49">
        <f>ROW(B26) - ROW($B$9)</f>
        <v>17</v>
      </c>
      <c r="C26" s="53" t="s">
        <v>9</v>
      </c>
      <c r="D26" s="30" t="s">
        <v>42</v>
      </c>
      <c r="E26" s="30" t="s">
        <v>105</v>
      </c>
      <c r="F26" s="30" t="s">
        <v>161</v>
      </c>
      <c r="G26" s="30" t="s">
        <v>204</v>
      </c>
      <c r="H26" s="30" t="s">
        <v>314</v>
      </c>
      <c r="I26" s="30" t="s">
        <v>254</v>
      </c>
      <c r="J26" s="31" t="s">
        <v>314</v>
      </c>
      <c r="K26" s="30">
        <v>1</v>
      </c>
      <c r="L26" s="76">
        <f>K26*5</f>
        <v>5</v>
      </c>
      <c r="M26" s="90" t="s">
        <v>321</v>
      </c>
      <c r="N26" s="81">
        <v>0.23</v>
      </c>
      <c r="O26" s="68">
        <f>N26*L26</f>
        <v>1.1500000000000001</v>
      </c>
      <c r="P26" s="30"/>
    </row>
    <row r="27" spans="1:16" x14ac:dyDescent="0.25">
      <c r="A27" s="1"/>
      <c r="B27" s="52">
        <f t="shared" si="0"/>
        <v>18</v>
      </c>
      <c r="C27" s="50" t="s">
        <v>9</v>
      </c>
      <c r="D27" s="31" t="s">
        <v>43</v>
      </c>
      <c r="E27" s="31" t="s">
        <v>106</v>
      </c>
      <c r="F27" s="31" t="s">
        <v>162</v>
      </c>
      <c r="G27" s="31" t="s">
        <v>205</v>
      </c>
      <c r="H27" s="31" t="s">
        <v>314</v>
      </c>
      <c r="I27" s="31" t="s">
        <v>255</v>
      </c>
      <c r="J27" s="30" t="s">
        <v>314</v>
      </c>
      <c r="K27" s="31">
        <v>1</v>
      </c>
      <c r="L27" s="75">
        <f t="shared" ref="L27" si="15">K27*5</f>
        <v>5</v>
      </c>
      <c r="M27" s="90" t="s">
        <v>321</v>
      </c>
      <c r="N27" s="80">
        <v>0.44</v>
      </c>
      <c r="O27" s="69">
        <f t="shared" ref="O27" si="16">N27*L27</f>
        <v>2.2000000000000002</v>
      </c>
      <c r="P27" s="31"/>
    </row>
    <row r="28" spans="1:16" ht="30" x14ac:dyDescent="0.25">
      <c r="A28" s="1"/>
      <c r="B28" s="49">
        <f>ROW(B28) - ROW($B$9)</f>
        <v>19</v>
      </c>
      <c r="C28" s="53" t="s">
        <v>9</v>
      </c>
      <c r="D28" s="30" t="s">
        <v>44</v>
      </c>
      <c r="E28" s="30" t="s">
        <v>107</v>
      </c>
      <c r="F28" s="30" t="s">
        <v>163</v>
      </c>
      <c r="G28" s="30" t="s">
        <v>206</v>
      </c>
      <c r="H28" s="30" t="s">
        <v>314</v>
      </c>
      <c r="I28" s="30" t="s">
        <v>256</v>
      </c>
      <c r="J28" s="30" t="s">
        <v>314</v>
      </c>
      <c r="K28" s="30">
        <v>1</v>
      </c>
      <c r="L28" s="76">
        <f>K28*5</f>
        <v>5</v>
      </c>
      <c r="M28" s="94" t="s">
        <v>322</v>
      </c>
      <c r="N28" s="80" t="s">
        <v>314</v>
      </c>
      <c r="O28" s="69" t="s">
        <v>314</v>
      </c>
      <c r="P28" s="30"/>
    </row>
    <row r="29" spans="1:16" ht="30" x14ac:dyDescent="0.25">
      <c r="A29" s="1"/>
      <c r="B29" s="52">
        <f t="shared" si="0"/>
        <v>20</v>
      </c>
      <c r="C29" s="50" t="s">
        <v>9</v>
      </c>
      <c r="D29" s="31" t="s">
        <v>45</v>
      </c>
      <c r="E29" s="31" t="s">
        <v>108</v>
      </c>
      <c r="F29" s="31" t="s">
        <v>164</v>
      </c>
      <c r="G29" s="31" t="s">
        <v>207</v>
      </c>
      <c r="H29" s="31" t="s">
        <v>314</v>
      </c>
      <c r="I29" s="31" t="s">
        <v>257</v>
      </c>
      <c r="J29" s="31" t="s">
        <v>314</v>
      </c>
      <c r="K29" s="31">
        <v>2</v>
      </c>
      <c r="L29" s="75">
        <f t="shared" ref="L29" si="17">K29*5</f>
        <v>10</v>
      </c>
      <c r="M29" s="94" t="s">
        <v>322</v>
      </c>
      <c r="N29" s="80" t="s">
        <v>314</v>
      </c>
      <c r="O29" s="69" t="s">
        <v>314</v>
      </c>
      <c r="P29" s="31"/>
    </row>
    <row r="30" spans="1:16" x14ac:dyDescent="0.25">
      <c r="A30" s="1"/>
      <c r="B30" s="49">
        <f>ROW(B30) - ROW($B$9)</f>
        <v>21</v>
      </c>
      <c r="C30" s="53" t="s">
        <v>9</v>
      </c>
      <c r="D30" s="30" t="s">
        <v>46</v>
      </c>
      <c r="E30" s="30" t="s">
        <v>109</v>
      </c>
      <c r="F30" s="30" t="s">
        <v>165</v>
      </c>
      <c r="G30" s="30" t="s">
        <v>208</v>
      </c>
      <c r="H30" s="30"/>
      <c r="I30" s="30" t="s">
        <v>258</v>
      </c>
      <c r="J30" s="30" t="s">
        <v>314</v>
      </c>
      <c r="K30" s="30">
        <v>3</v>
      </c>
      <c r="L30" s="76">
        <f>K30*5</f>
        <v>15</v>
      </c>
      <c r="M30" s="90" t="s">
        <v>321</v>
      </c>
      <c r="N30" s="81">
        <v>0.32300000000000001</v>
      </c>
      <c r="O30" s="68">
        <f>N30*L30</f>
        <v>4.8449999999999998</v>
      </c>
      <c r="P30" s="30"/>
    </row>
    <row r="31" spans="1:16" ht="30" x14ac:dyDescent="0.25">
      <c r="A31" s="1"/>
      <c r="B31" s="52">
        <f t="shared" si="0"/>
        <v>22</v>
      </c>
      <c r="C31" s="50" t="s">
        <v>9</v>
      </c>
      <c r="D31" s="31" t="s">
        <v>47</v>
      </c>
      <c r="E31" s="31" t="s">
        <v>110</v>
      </c>
      <c r="F31" s="31" t="s">
        <v>159</v>
      </c>
      <c r="G31" s="31" t="s">
        <v>209</v>
      </c>
      <c r="H31" s="31" t="s">
        <v>314</v>
      </c>
      <c r="I31" s="31" t="s">
        <v>259</v>
      </c>
      <c r="J31" s="31" t="s">
        <v>314</v>
      </c>
      <c r="K31" s="31">
        <v>2</v>
      </c>
      <c r="L31" s="75">
        <f t="shared" ref="L31" si="18">K31*5</f>
        <v>10</v>
      </c>
      <c r="M31" s="94" t="s">
        <v>322</v>
      </c>
      <c r="N31" s="80" t="s">
        <v>314</v>
      </c>
      <c r="O31" s="69" t="s">
        <v>314</v>
      </c>
      <c r="P31" s="31"/>
    </row>
    <row r="32" spans="1:16" ht="30" x14ac:dyDescent="0.25">
      <c r="A32" s="1"/>
      <c r="B32" s="49">
        <f>ROW(B32) - ROW($B$9)</f>
        <v>23</v>
      </c>
      <c r="C32" s="53" t="s">
        <v>11</v>
      </c>
      <c r="D32" s="30" t="s">
        <v>48</v>
      </c>
      <c r="E32" s="30" t="s">
        <v>111</v>
      </c>
      <c r="F32" s="30" t="s">
        <v>166</v>
      </c>
      <c r="G32" s="30" t="s">
        <v>210</v>
      </c>
      <c r="H32" s="30" t="s">
        <v>314</v>
      </c>
      <c r="I32" s="30" t="s">
        <v>260</v>
      </c>
      <c r="J32" s="30" t="s">
        <v>314</v>
      </c>
      <c r="K32" s="30">
        <v>1</v>
      </c>
      <c r="L32" s="76">
        <f>K32*5</f>
        <v>5</v>
      </c>
      <c r="M32" s="94" t="s">
        <v>322</v>
      </c>
      <c r="N32" s="80" t="s">
        <v>314</v>
      </c>
      <c r="O32" s="69" t="s">
        <v>314</v>
      </c>
      <c r="P32" s="30"/>
    </row>
    <row r="33" spans="1:16" ht="30" x14ac:dyDescent="0.25">
      <c r="A33" s="1"/>
      <c r="B33" s="52">
        <f t="shared" si="0"/>
        <v>24</v>
      </c>
      <c r="C33" s="50" t="s">
        <v>11</v>
      </c>
      <c r="D33" s="31" t="s">
        <v>49</v>
      </c>
      <c r="E33" s="31" t="s">
        <v>112</v>
      </c>
      <c r="F33" s="31" t="s">
        <v>167</v>
      </c>
      <c r="G33" s="31" t="s">
        <v>211</v>
      </c>
      <c r="H33" s="31" t="s">
        <v>314</v>
      </c>
      <c r="I33" s="31" t="s">
        <v>261</v>
      </c>
      <c r="J33" s="30" t="s">
        <v>314</v>
      </c>
      <c r="K33" s="31">
        <v>1</v>
      </c>
      <c r="L33" s="75">
        <f t="shared" ref="L33" si="19">K33*5</f>
        <v>5</v>
      </c>
      <c r="M33" s="94" t="s">
        <v>322</v>
      </c>
      <c r="N33" s="80" t="s">
        <v>314</v>
      </c>
      <c r="O33" s="69" t="s">
        <v>314</v>
      </c>
      <c r="P33" s="31"/>
    </row>
    <row r="34" spans="1:16" ht="30" x14ac:dyDescent="0.25">
      <c r="A34" s="1"/>
      <c r="B34" s="49">
        <f>ROW(B34) - ROW($B$9)</f>
        <v>25</v>
      </c>
      <c r="C34" s="53" t="s">
        <v>11</v>
      </c>
      <c r="D34" s="30" t="s">
        <v>50</v>
      </c>
      <c r="E34" s="30" t="s">
        <v>113</v>
      </c>
      <c r="F34" s="30" t="s">
        <v>168</v>
      </c>
      <c r="G34" s="30" t="s">
        <v>212</v>
      </c>
      <c r="H34" s="30" t="s">
        <v>314</v>
      </c>
      <c r="I34" s="30" t="s">
        <v>262</v>
      </c>
      <c r="J34" s="31" t="s">
        <v>314</v>
      </c>
      <c r="K34" s="30">
        <v>2</v>
      </c>
      <c r="L34" s="76">
        <f>K34*5</f>
        <v>10</v>
      </c>
      <c r="M34" s="94" t="s">
        <v>322</v>
      </c>
      <c r="N34" s="80" t="s">
        <v>314</v>
      </c>
      <c r="O34" s="69" t="s">
        <v>314</v>
      </c>
      <c r="P34" s="30"/>
    </row>
    <row r="35" spans="1:16" ht="48" x14ac:dyDescent="0.25">
      <c r="A35" s="1"/>
      <c r="B35" s="52">
        <f t="shared" si="0"/>
        <v>26</v>
      </c>
      <c r="C35" s="50" t="s">
        <v>12</v>
      </c>
      <c r="D35" s="31" t="s">
        <v>51</v>
      </c>
      <c r="E35" s="31" t="s">
        <v>114</v>
      </c>
      <c r="F35" s="31" t="s">
        <v>311</v>
      </c>
      <c r="G35" s="31" t="s">
        <v>169</v>
      </c>
      <c r="H35" s="31" t="s">
        <v>314</v>
      </c>
      <c r="I35" s="31" t="s">
        <v>263</v>
      </c>
      <c r="J35" s="30" t="s">
        <v>314</v>
      </c>
      <c r="K35" s="31">
        <v>1</v>
      </c>
      <c r="L35" s="75">
        <f t="shared" ref="L35" si="20">K35*5</f>
        <v>5</v>
      </c>
      <c r="M35" s="94" t="s">
        <v>322</v>
      </c>
      <c r="N35" s="80" t="s">
        <v>314</v>
      </c>
      <c r="O35" s="69" t="s">
        <v>314</v>
      </c>
      <c r="P35" s="31"/>
    </row>
    <row r="36" spans="1:16" ht="48" x14ac:dyDescent="0.25">
      <c r="A36" s="1"/>
      <c r="B36" s="49">
        <f>ROW(B36) - ROW($B$9)</f>
        <v>27</v>
      </c>
      <c r="C36" s="53" t="s">
        <v>12</v>
      </c>
      <c r="D36" s="30" t="s">
        <v>52</v>
      </c>
      <c r="E36" s="30" t="s">
        <v>115</v>
      </c>
      <c r="F36" s="30" t="s">
        <v>311</v>
      </c>
      <c r="G36" s="30" t="s">
        <v>170</v>
      </c>
      <c r="H36" s="30" t="s">
        <v>314</v>
      </c>
      <c r="I36" s="30" t="s">
        <v>263</v>
      </c>
      <c r="J36" s="31" t="s">
        <v>314</v>
      </c>
      <c r="K36" s="30">
        <v>5</v>
      </c>
      <c r="L36" s="76">
        <f>K36*5</f>
        <v>25</v>
      </c>
      <c r="M36" s="94" t="s">
        <v>322</v>
      </c>
      <c r="N36" s="80" t="s">
        <v>314</v>
      </c>
      <c r="O36" s="69" t="s">
        <v>314</v>
      </c>
      <c r="P36" s="30"/>
    </row>
    <row r="37" spans="1:16" x14ac:dyDescent="0.25">
      <c r="A37" s="1"/>
      <c r="B37" s="52">
        <f t="shared" si="0"/>
        <v>28</v>
      </c>
      <c r="C37" s="53" t="s">
        <v>13</v>
      </c>
      <c r="D37" s="31" t="s">
        <v>53</v>
      </c>
      <c r="E37" s="31" t="s">
        <v>116</v>
      </c>
      <c r="F37" s="31" t="s">
        <v>311</v>
      </c>
      <c r="G37" s="31" t="s">
        <v>213</v>
      </c>
      <c r="H37" s="31" t="s">
        <v>314</v>
      </c>
      <c r="I37" s="31" t="s">
        <v>264</v>
      </c>
      <c r="J37" s="30" t="s">
        <v>314</v>
      </c>
      <c r="K37" s="31">
        <v>1</v>
      </c>
      <c r="L37" s="75">
        <f t="shared" ref="L37" si="21">K37*5</f>
        <v>5</v>
      </c>
      <c r="M37" s="90" t="s">
        <v>321</v>
      </c>
      <c r="N37" s="80">
        <v>1.46</v>
      </c>
      <c r="O37" s="69">
        <f t="shared" ref="O37" si="22">N37*L37</f>
        <v>7.3</v>
      </c>
      <c r="P37" s="31"/>
    </row>
    <row r="38" spans="1:16" ht="36" x14ac:dyDescent="0.25">
      <c r="A38" s="1"/>
      <c r="B38" s="49">
        <f>ROW(B38) - ROW($B$9)</f>
        <v>29</v>
      </c>
      <c r="C38" s="53" t="s">
        <v>13</v>
      </c>
      <c r="D38" s="30" t="s">
        <v>54</v>
      </c>
      <c r="E38" s="30" t="s">
        <v>117</v>
      </c>
      <c r="F38" s="30" t="s">
        <v>311</v>
      </c>
      <c r="G38" s="30" t="s">
        <v>214</v>
      </c>
      <c r="H38" s="30" t="s">
        <v>314</v>
      </c>
      <c r="I38" s="30" t="s">
        <v>265</v>
      </c>
      <c r="J38" s="30" t="s">
        <v>314</v>
      </c>
      <c r="K38" s="30">
        <v>1</v>
      </c>
      <c r="L38" s="76">
        <f>K38*5</f>
        <v>5</v>
      </c>
      <c r="M38" s="94" t="s">
        <v>322</v>
      </c>
      <c r="N38" s="80" t="s">
        <v>314</v>
      </c>
      <c r="O38" s="69" t="s">
        <v>314</v>
      </c>
      <c r="P38" s="30"/>
    </row>
    <row r="39" spans="1:16" x14ac:dyDescent="0.25">
      <c r="A39" s="1"/>
      <c r="B39" s="52">
        <f t="shared" si="0"/>
        <v>30</v>
      </c>
      <c r="C39" s="50" t="s">
        <v>14</v>
      </c>
      <c r="D39" s="54" t="s">
        <v>55</v>
      </c>
      <c r="E39" s="54" t="s">
        <v>118</v>
      </c>
      <c r="F39" s="51" t="s">
        <v>311</v>
      </c>
      <c r="G39" s="54" t="s">
        <v>215</v>
      </c>
      <c r="H39" s="51" t="s">
        <v>314</v>
      </c>
      <c r="I39" s="51" t="s">
        <v>314</v>
      </c>
      <c r="J39" s="54" t="s">
        <v>314</v>
      </c>
      <c r="K39" s="54">
        <v>2</v>
      </c>
      <c r="L39" s="77">
        <f t="shared" ref="L39" si="23">K39*5</f>
        <v>10</v>
      </c>
      <c r="M39" s="91" t="s">
        <v>314</v>
      </c>
      <c r="N39" s="82" t="s">
        <v>314</v>
      </c>
      <c r="O39" s="71" t="s">
        <v>314</v>
      </c>
      <c r="P39" s="31"/>
    </row>
    <row r="40" spans="1:16" ht="48" x14ac:dyDescent="0.25">
      <c r="A40" s="1"/>
      <c r="B40" s="49">
        <f>ROW(B40) - ROW($B$9)</f>
        <v>31</v>
      </c>
      <c r="C40" s="53" t="s">
        <v>15</v>
      </c>
      <c r="D40" s="30" t="s">
        <v>56</v>
      </c>
      <c r="E40" s="30" t="s">
        <v>119</v>
      </c>
      <c r="F40" s="30" t="s">
        <v>311</v>
      </c>
      <c r="G40" s="30" t="s">
        <v>216</v>
      </c>
      <c r="H40" s="30" t="s">
        <v>314</v>
      </c>
      <c r="I40" s="30" t="s">
        <v>266</v>
      </c>
      <c r="J40" s="30" t="s">
        <v>314</v>
      </c>
      <c r="K40" s="30">
        <v>1</v>
      </c>
      <c r="L40" s="76">
        <f>K40*5</f>
        <v>5</v>
      </c>
      <c r="M40" s="94" t="s">
        <v>322</v>
      </c>
      <c r="N40" s="80" t="s">
        <v>314</v>
      </c>
      <c r="O40" s="69" t="s">
        <v>314</v>
      </c>
      <c r="P40" s="30"/>
    </row>
    <row r="41" spans="1:16" ht="48" x14ac:dyDescent="0.25">
      <c r="A41" s="1"/>
      <c r="B41" s="52">
        <f t="shared" si="0"/>
        <v>32</v>
      </c>
      <c r="C41" s="50" t="s">
        <v>16</v>
      </c>
      <c r="D41" s="31" t="s">
        <v>57</v>
      </c>
      <c r="E41" s="31" t="s">
        <v>120</v>
      </c>
      <c r="F41" s="30" t="s">
        <v>311</v>
      </c>
      <c r="G41" s="31" t="s">
        <v>171</v>
      </c>
      <c r="H41" s="31" t="s">
        <v>314</v>
      </c>
      <c r="I41" s="31" t="s">
        <v>267</v>
      </c>
      <c r="J41" s="31" t="s">
        <v>314</v>
      </c>
      <c r="K41" s="31">
        <v>1</v>
      </c>
      <c r="L41" s="75">
        <f t="shared" ref="L41" si="24">K41*5</f>
        <v>5</v>
      </c>
      <c r="M41" s="94" t="s">
        <v>322</v>
      </c>
      <c r="N41" s="80" t="s">
        <v>314</v>
      </c>
      <c r="O41" s="69" t="s">
        <v>314</v>
      </c>
      <c r="P41" s="31"/>
    </row>
    <row r="42" spans="1:16" x14ac:dyDescent="0.25">
      <c r="A42" s="1"/>
      <c r="B42" s="55">
        <f>ROW(B42) - ROW($B$9)</f>
        <v>33</v>
      </c>
      <c r="C42" s="56" t="s">
        <v>17</v>
      </c>
      <c r="D42" s="57" t="s">
        <v>58</v>
      </c>
      <c r="E42" s="57" t="s">
        <v>121</v>
      </c>
      <c r="F42" s="57" t="s">
        <v>311</v>
      </c>
      <c r="G42" s="57" t="s">
        <v>172</v>
      </c>
      <c r="H42" s="64" t="s">
        <v>314</v>
      </c>
      <c r="I42" s="57" t="s">
        <v>268</v>
      </c>
      <c r="J42" s="64" t="s">
        <v>314</v>
      </c>
      <c r="K42" s="57">
        <v>1</v>
      </c>
      <c r="L42" s="78">
        <f>K42*5</f>
        <v>5</v>
      </c>
      <c r="M42" s="90" t="s">
        <v>321</v>
      </c>
      <c r="N42" s="83">
        <v>1.6</v>
      </c>
      <c r="O42" s="72">
        <f>N42*L42</f>
        <v>8</v>
      </c>
      <c r="P42" s="30"/>
    </row>
    <row r="43" spans="1:16" x14ac:dyDescent="0.25">
      <c r="A43" s="1"/>
      <c r="B43" s="52">
        <f t="shared" si="0"/>
        <v>34</v>
      </c>
      <c r="C43" s="53" t="s">
        <v>18</v>
      </c>
      <c r="D43" s="31" t="s">
        <v>59</v>
      </c>
      <c r="E43" s="31" t="s">
        <v>122</v>
      </c>
      <c r="F43" s="30" t="s">
        <v>311</v>
      </c>
      <c r="G43" s="31" t="s">
        <v>217</v>
      </c>
      <c r="H43" s="31" t="s">
        <v>314</v>
      </c>
      <c r="I43" s="31" t="s">
        <v>269</v>
      </c>
      <c r="J43" s="31" t="s">
        <v>293</v>
      </c>
      <c r="K43" s="31">
        <v>1</v>
      </c>
      <c r="L43" s="75">
        <f t="shared" ref="L43" si="25">K43*5</f>
        <v>5</v>
      </c>
      <c r="M43" s="90" t="s">
        <v>321</v>
      </c>
      <c r="N43" s="80">
        <v>1.06</v>
      </c>
      <c r="O43" s="69">
        <f t="shared" ref="O43" si="26">N43*L43</f>
        <v>5.3000000000000007</v>
      </c>
      <c r="P43" s="31"/>
    </row>
    <row r="44" spans="1:16" ht="30" x14ac:dyDescent="0.25">
      <c r="A44" s="1"/>
      <c r="B44" s="49">
        <f>ROW(B44) - ROW($B$9)</f>
        <v>35</v>
      </c>
      <c r="C44" s="53" t="s">
        <v>18</v>
      </c>
      <c r="D44" s="30" t="s">
        <v>60</v>
      </c>
      <c r="E44" s="30" t="s">
        <v>123</v>
      </c>
      <c r="F44" s="30" t="s">
        <v>311</v>
      </c>
      <c r="G44" s="30" t="s">
        <v>218</v>
      </c>
      <c r="H44" s="30" t="s">
        <v>314</v>
      </c>
      <c r="I44" s="30" t="s">
        <v>270</v>
      </c>
      <c r="J44" s="30" t="s">
        <v>294</v>
      </c>
      <c r="K44" s="30">
        <v>1</v>
      </c>
      <c r="L44" s="76">
        <f>K44*5</f>
        <v>5</v>
      </c>
      <c r="M44" s="94" t="s">
        <v>322</v>
      </c>
      <c r="N44" s="80" t="s">
        <v>314</v>
      </c>
      <c r="O44" s="69" t="s">
        <v>314</v>
      </c>
      <c r="P44" s="30"/>
    </row>
    <row r="45" spans="1:16" ht="30" x14ac:dyDescent="0.25">
      <c r="A45" s="1"/>
      <c r="B45" s="52">
        <f t="shared" si="0"/>
        <v>36</v>
      </c>
      <c r="C45" s="53" t="s">
        <v>18</v>
      </c>
      <c r="D45" s="31" t="s">
        <v>61</v>
      </c>
      <c r="E45" s="31" t="s">
        <v>124</v>
      </c>
      <c r="F45" s="31" t="s">
        <v>173</v>
      </c>
      <c r="G45" s="31" t="s">
        <v>219</v>
      </c>
      <c r="H45" s="31" t="s">
        <v>314</v>
      </c>
      <c r="I45" s="31" t="s">
        <v>271</v>
      </c>
      <c r="J45" s="31" t="s">
        <v>295</v>
      </c>
      <c r="K45" s="31">
        <v>1</v>
      </c>
      <c r="L45" s="75">
        <f t="shared" ref="L45" si="27">K45*5</f>
        <v>5</v>
      </c>
      <c r="M45" s="94" t="s">
        <v>322</v>
      </c>
      <c r="N45" s="80" t="s">
        <v>314</v>
      </c>
      <c r="O45" s="69" t="s">
        <v>314</v>
      </c>
      <c r="P45" s="31"/>
    </row>
    <row r="46" spans="1:16" ht="30" x14ac:dyDescent="0.25">
      <c r="A46" s="1"/>
      <c r="B46" s="49">
        <f>ROW(B46) - ROW($B$9)</f>
        <v>37</v>
      </c>
      <c r="C46" s="53" t="s">
        <v>19</v>
      </c>
      <c r="D46" s="30" t="s">
        <v>62</v>
      </c>
      <c r="E46" s="30" t="s">
        <v>125</v>
      </c>
      <c r="F46" s="30" t="s">
        <v>174</v>
      </c>
      <c r="G46" s="30" t="s">
        <v>220</v>
      </c>
      <c r="H46" s="30" t="s">
        <v>314</v>
      </c>
      <c r="I46" s="30" t="s">
        <v>272</v>
      </c>
      <c r="J46" s="30" t="s">
        <v>314</v>
      </c>
      <c r="K46" s="30">
        <v>3</v>
      </c>
      <c r="L46" s="76">
        <f>K46*5</f>
        <v>15</v>
      </c>
      <c r="M46" s="94" t="s">
        <v>322</v>
      </c>
      <c r="N46" s="80" t="s">
        <v>314</v>
      </c>
      <c r="O46" s="69" t="s">
        <v>314</v>
      </c>
      <c r="P46" s="30"/>
    </row>
    <row r="47" spans="1:16" ht="30" x14ac:dyDescent="0.25">
      <c r="A47" s="1"/>
      <c r="B47" s="52">
        <f t="shared" si="0"/>
        <v>38</v>
      </c>
      <c r="C47" s="50" t="s">
        <v>19</v>
      </c>
      <c r="D47" s="31" t="s">
        <v>63</v>
      </c>
      <c r="E47" s="31" t="s">
        <v>126</v>
      </c>
      <c r="F47" s="31" t="s">
        <v>174</v>
      </c>
      <c r="G47" s="31" t="s">
        <v>221</v>
      </c>
      <c r="H47" s="31" t="s">
        <v>314</v>
      </c>
      <c r="I47" s="31" t="s">
        <v>272</v>
      </c>
      <c r="J47" s="31" t="s">
        <v>314</v>
      </c>
      <c r="K47" s="31">
        <v>1</v>
      </c>
      <c r="L47" s="75">
        <f t="shared" ref="L47" si="28">K47*5</f>
        <v>5</v>
      </c>
      <c r="M47" s="94" t="s">
        <v>322</v>
      </c>
      <c r="N47" s="80" t="s">
        <v>314</v>
      </c>
      <c r="O47" s="69" t="s">
        <v>314</v>
      </c>
      <c r="P47" s="31"/>
    </row>
    <row r="48" spans="1:16" x14ac:dyDescent="0.25">
      <c r="A48" s="1"/>
      <c r="B48" s="49">
        <f>ROW(B48) - ROW($B$9)</f>
        <v>39</v>
      </c>
      <c r="C48" s="53" t="s">
        <v>312</v>
      </c>
      <c r="D48" s="51" t="s">
        <v>64</v>
      </c>
      <c r="E48" s="51" t="s">
        <v>127</v>
      </c>
      <c r="F48" s="51" t="s">
        <v>311</v>
      </c>
      <c r="G48" s="51" t="s">
        <v>175</v>
      </c>
      <c r="H48" s="51" t="s">
        <v>314</v>
      </c>
      <c r="I48" s="51" t="s">
        <v>314</v>
      </c>
      <c r="J48" s="51" t="s">
        <v>314</v>
      </c>
      <c r="K48" s="51">
        <v>4</v>
      </c>
      <c r="L48" s="79">
        <f>K48*5</f>
        <v>20</v>
      </c>
      <c r="M48" s="91" t="s">
        <v>314</v>
      </c>
      <c r="N48" s="84" t="s">
        <v>314</v>
      </c>
      <c r="O48" s="66" t="s">
        <v>314</v>
      </c>
      <c r="P48" s="30"/>
    </row>
    <row r="49" spans="1:16" x14ac:dyDescent="0.25">
      <c r="A49" s="1"/>
      <c r="B49" s="52">
        <f t="shared" si="0"/>
        <v>40</v>
      </c>
      <c r="C49" s="50" t="s">
        <v>20</v>
      </c>
      <c r="D49" s="31" t="s">
        <v>65</v>
      </c>
      <c r="E49" s="31" t="s">
        <v>128</v>
      </c>
      <c r="F49" s="31" t="s">
        <v>176</v>
      </c>
      <c r="G49" s="31" t="s">
        <v>222</v>
      </c>
      <c r="H49" s="31" t="s">
        <v>314</v>
      </c>
      <c r="I49" s="31" t="s">
        <v>252</v>
      </c>
      <c r="J49" s="31" t="s">
        <v>314</v>
      </c>
      <c r="K49" s="31">
        <v>6</v>
      </c>
      <c r="L49" s="75">
        <f t="shared" ref="L49" si="29">K49*5</f>
        <v>30</v>
      </c>
      <c r="M49" s="90" t="s">
        <v>321</v>
      </c>
      <c r="N49" s="80">
        <v>0.125</v>
      </c>
      <c r="O49" s="69">
        <f t="shared" ref="O49" si="30">N49*L49</f>
        <v>3.75</v>
      </c>
      <c r="P49" s="31"/>
    </row>
    <row r="50" spans="1:16" ht="36" x14ac:dyDescent="0.25">
      <c r="A50" s="1"/>
      <c r="B50" s="49">
        <f>ROW(B50) - ROW($B$9)</f>
        <v>41</v>
      </c>
      <c r="C50" s="53" t="s">
        <v>20</v>
      </c>
      <c r="D50" s="30" t="s">
        <v>66</v>
      </c>
      <c r="E50" s="30" t="s">
        <v>129</v>
      </c>
      <c r="F50" s="30" t="s">
        <v>163</v>
      </c>
      <c r="G50" s="30" t="s">
        <v>223</v>
      </c>
      <c r="H50" s="30" t="s">
        <v>314</v>
      </c>
      <c r="I50" s="30" t="s">
        <v>256</v>
      </c>
      <c r="J50" s="30" t="s">
        <v>314</v>
      </c>
      <c r="K50" s="30">
        <v>1</v>
      </c>
      <c r="L50" s="76">
        <f>K50*5</f>
        <v>5</v>
      </c>
      <c r="M50" s="94" t="s">
        <v>322</v>
      </c>
      <c r="N50" s="80" t="s">
        <v>314</v>
      </c>
      <c r="O50" s="69" t="s">
        <v>314</v>
      </c>
      <c r="P50" s="30"/>
    </row>
    <row r="51" spans="1:16" x14ac:dyDescent="0.25">
      <c r="A51" s="1"/>
      <c r="B51" s="52">
        <f t="shared" si="0"/>
        <v>42</v>
      </c>
      <c r="C51" s="50" t="s">
        <v>21</v>
      </c>
      <c r="D51" s="31" t="s">
        <v>67</v>
      </c>
      <c r="E51" s="31" t="s">
        <v>130</v>
      </c>
      <c r="F51" s="31" t="s">
        <v>177</v>
      </c>
      <c r="G51" s="31" t="s">
        <v>224</v>
      </c>
      <c r="H51" s="31" t="s">
        <v>314</v>
      </c>
      <c r="I51" s="31" t="s">
        <v>250</v>
      </c>
      <c r="J51" s="31" t="s">
        <v>296</v>
      </c>
      <c r="K51" s="31">
        <v>1</v>
      </c>
      <c r="L51" s="75">
        <f t="shared" ref="L51" si="31">K51*5</f>
        <v>5</v>
      </c>
      <c r="M51" s="90" t="s">
        <v>321</v>
      </c>
      <c r="N51" s="80">
        <v>0.1</v>
      </c>
      <c r="O51" s="69">
        <f t="shared" ref="O51" si="32">N51*L51</f>
        <v>0.5</v>
      </c>
      <c r="P51" s="31"/>
    </row>
    <row r="52" spans="1:16" x14ac:dyDescent="0.25">
      <c r="A52" s="1"/>
      <c r="B52" s="49">
        <f>ROW(B52) - ROW($B$9)</f>
        <v>43</v>
      </c>
      <c r="C52" s="50" t="s">
        <v>21</v>
      </c>
      <c r="D52" s="30" t="s">
        <v>68</v>
      </c>
      <c r="E52" s="30" t="s">
        <v>131</v>
      </c>
      <c r="F52" s="30" t="s">
        <v>178</v>
      </c>
      <c r="G52" s="65" t="s">
        <v>225</v>
      </c>
      <c r="H52" s="31" t="s">
        <v>314</v>
      </c>
      <c r="I52" s="31" t="s">
        <v>250</v>
      </c>
      <c r="J52" s="31" t="s">
        <v>297</v>
      </c>
      <c r="K52" s="30">
        <v>2</v>
      </c>
      <c r="L52" s="76">
        <f>K52*5</f>
        <v>10</v>
      </c>
      <c r="M52" s="90" t="s">
        <v>321</v>
      </c>
      <c r="N52" s="80">
        <v>0.1</v>
      </c>
      <c r="O52" s="68">
        <f>N52*L52</f>
        <v>1</v>
      </c>
      <c r="P52" s="30"/>
    </row>
    <row r="53" spans="1:16" x14ac:dyDescent="0.25">
      <c r="A53" s="1"/>
      <c r="B53" s="52">
        <f t="shared" si="0"/>
        <v>44</v>
      </c>
      <c r="C53" s="50" t="s">
        <v>21</v>
      </c>
      <c r="D53" s="31" t="s">
        <v>69</v>
      </c>
      <c r="E53" s="31" t="s">
        <v>132</v>
      </c>
      <c r="F53" s="31" t="s">
        <v>178</v>
      </c>
      <c r="G53" s="31" t="s">
        <v>226</v>
      </c>
      <c r="H53" s="31" t="s">
        <v>314</v>
      </c>
      <c r="I53" s="31" t="s">
        <v>250</v>
      </c>
      <c r="J53" s="31" t="s">
        <v>298</v>
      </c>
      <c r="K53" s="31">
        <v>6</v>
      </c>
      <c r="L53" s="75">
        <f t="shared" ref="L53" si="33">K53*5</f>
        <v>30</v>
      </c>
      <c r="M53" s="90" t="s">
        <v>321</v>
      </c>
      <c r="N53" s="80">
        <v>0.1</v>
      </c>
      <c r="O53" s="69">
        <f t="shared" ref="O53" si="34">N53*L53</f>
        <v>3</v>
      </c>
      <c r="P53" s="31"/>
    </row>
    <row r="54" spans="1:16" x14ac:dyDescent="0.25">
      <c r="A54" s="1"/>
      <c r="B54" s="49">
        <f>ROW(B54) - ROW($B$9)</f>
        <v>45</v>
      </c>
      <c r="C54" s="50" t="s">
        <v>21</v>
      </c>
      <c r="D54" s="30" t="s">
        <v>70</v>
      </c>
      <c r="E54" s="30" t="s">
        <v>133</v>
      </c>
      <c r="F54" s="30" t="s">
        <v>177</v>
      </c>
      <c r="G54" s="30" t="s">
        <v>227</v>
      </c>
      <c r="H54" s="30" t="s">
        <v>314</v>
      </c>
      <c r="I54" s="30" t="s">
        <v>250</v>
      </c>
      <c r="J54" s="30" t="s">
        <v>299</v>
      </c>
      <c r="K54" s="30">
        <v>1</v>
      </c>
      <c r="L54" s="76">
        <f>K54*5</f>
        <v>5</v>
      </c>
      <c r="M54" s="90" t="s">
        <v>321</v>
      </c>
      <c r="N54" s="80">
        <v>0.1</v>
      </c>
      <c r="O54" s="68">
        <f>N54*L54</f>
        <v>0.5</v>
      </c>
      <c r="P54" s="30"/>
    </row>
    <row r="55" spans="1:16" ht="24" x14ac:dyDescent="0.25">
      <c r="A55" s="1"/>
      <c r="B55" s="52">
        <f t="shared" si="0"/>
        <v>46</v>
      </c>
      <c r="C55" s="50" t="s">
        <v>21</v>
      </c>
      <c r="D55" s="31" t="s">
        <v>71</v>
      </c>
      <c r="E55" s="31" t="s">
        <v>134</v>
      </c>
      <c r="F55" s="31" t="s">
        <v>177</v>
      </c>
      <c r="G55" s="31" t="s">
        <v>228</v>
      </c>
      <c r="H55" s="31" t="s">
        <v>314</v>
      </c>
      <c r="I55" s="31" t="s">
        <v>250</v>
      </c>
      <c r="J55" s="31" t="s">
        <v>300</v>
      </c>
      <c r="K55" s="31">
        <v>17</v>
      </c>
      <c r="L55" s="75">
        <f t="shared" ref="L55" si="35">K55*5</f>
        <v>85</v>
      </c>
      <c r="M55" s="90" t="s">
        <v>321</v>
      </c>
      <c r="N55" s="80">
        <v>0.1</v>
      </c>
      <c r="O55" s="69">
        <f t="shared" ref="O55" si="36">N55*L55</f>
        <v>8.5</v>
      </c>
      <c r="P55" s="31"/>
    </row>
    <row r="56" spans="1:16" x14ac:dyDescent="0.25">
      <c r="A56" s="1"/>
      <c r="B56" s="49">
        <f>ROW(B56) - ROW($B$9)</f>
        <v>47</v>
      </c>
      <c r="C56" s="50" t="s">
        <v>21</v>
      </c>
      <c r="D56" s="30" t="s">
        <v>72</v>
      </c>
      <c r="E56" s="30" t="s">
        <v>135</v>
      </c>
      <c r="F56" s="30" t="s">
        <v>177</v>
      </c>
      <c r="G56" s="30" t="s">
        <v>229</v>
      </c>
      <c r="H56" s="30" t="s">
        <v>314</v>
      </c>
      <c r="I56" s="30" t="s">
        <v>250</v>
      </c>
      <c r="J56" s="30" t="s">
        <v>301</v>
      </c>
      <c r="K56" s="30">
        <v>3</v>
      </c>
      <c r="L56" s="76">
        <f>K56*5</f>
        <v>15</v>
      </c>
      <c r="M56" s="90" t="s">
        <v>321</v>
      </c>
      <c r="N56" s="81">
        <v>0.1</v>
      </c>
      <c r="O56" s="68">
        <f>N56*L56</f>
        <v>1.5</v>
      </c>
      <c r="P56" s="30"/>
    </row>
    <row r="57" spans="1:16" x14ac:dyDescent="0.25">
      <c r="A57" s="1"/>
      <c r="B57" s="52">
        <f t="shared" si="0"/>
        <v>48</v>
      </c>
      <c r="C57" s="50" t="s">
        <v>21</v>
      </c>
      <c r="D57" s="31" t="s">
        <v>73</v>
      </c>
      <c r="E57" s="31" t="s">
        <v>136</v>
      </c>
      <c r="F57" s="31" t="s">
        <v>177</v>
      </c>
      <c r="G57" s="31" t="s">
        <v>230</v>
      </c>
      <c r="H57" s="31" t="s">
        <v>314</v>
      </c>
      <c r="I57" s="31" t="s">
        <v>250</v>
      </c>
      <c r="J57" s="31" t="s">
        <v>302</v>
      </c>
      <c r="K57" s="31">
        <v>1</v>
      </c>
      <c r="L57" s="75">
        <f t="shared" ref="L57" si="37">K57*5</f>
        <v>5</v>
      </c>
      <c r="M57" s="90" t="s">
        <v>321</v>
      </c>
      <c r="N57" s="80">
        <v>0.1</v>
      </c>
      <c r="O57" s="69">
        <f t="shared" ref="O57" si="38">N57*L57</f>
        <v>0.5</v>
      </c>
      <c r="P57" s="31"/>
    </row>
    <row r="58" spans="1:16" x14ac:dyDescent="0.25">
      <c r="A58" s="1"/>
      <c r="B58" s="49">
        <f>ROW(B58) - ROW($B$9)</f>
        <v>49</v>
      </c>
      <c r="C58" s="53" t="s">
        <v>21</v>
      </c>
      <c r="D58" s="30" t="s">
        <v>74</v>
      </c>
      <c r="E58" s="30" t="s">
        <v>137</v>
      </c>
      <c r="F58" s="30" t="s">
        <v>177</v>
      </c>
      <c r="G58" s="30" t="s">
        <v>231</v>
      </c>
      <c r="H58" s="30" t="s">
        <v>314</v>
      </c>
      <c r="I58" s="30" t="s">
        <v>250</v>
      </c>
      <c r="J58" s="30" t="s">
        <v>303</v>
      </c>
      <c r="K58" s="30">
        <v>5</v>
      </c>
      <c r="L58" s="76">
        <f>K58*5</f>
        <v>25</v>
      </c>
      <c r="M58" s="90" t="s">
        <v>321</v>
      </c>
      <c r="N58" s="80">
        <v>0.1</v>
      </c>
      <c r="O58" s="68">
        <f>N58*L58</f>
        <v>2.5</v>
      </c>
      <c r="P58" s="30"/>
    </row>
    <row r="59" spans="1:16" x14ac:dyDescent="0.25">
      <c r="A59" s="1"/>
      <c r="B59" s="52">
        <f t="shared" si="0"/>
        <v>50</v>
      </c>
      <c r="C59" s="53" t="s">
        <v>21</v>
      </c>
      <c r="D59" s="31" t="s">
        <v>75</v>
      </c>
      <c r="E59" s="31" t="s">
        <v>138</v>
      </c>
      <c r="F59" s="31" t="s">
        <v>177</v>
      </c>
      <c r="G59" s="65" t="s">
        <v>232</v>
      </c>
      <c r="H59" s="31" t="s">
        <v>314</v>
      </c>
      <c r="I59" s="31" t="s">
        <v>273</v>
      </c>
      <c r="J59" s="31" t="s">
        <v>304</v>
      </c>
      <c r="K59" s="31">
        <v>4</v>
      </c>
      <c r="L59" s="75">
        <f t="shared" ref="L59" si="39">K59*5</f>
        <v>20</v>
      </c>
      <c r="M59" s="90" t="s">
        <v>321</v>
      </c>
      <c r="N59" s="80">
        <v>0.1</v>
      </c>
      <c r="O59" s="69">
        <f t="shared" ref="O59" si="40">N59*L59</f>
        <v>2</v>
      </c>
      <c r="P59" s="31"/>
    </row>
    <row r="60" spans="1:16" x14ac:dyDescent="0.25">
      <c r="A60" s="1"/>
      <c r="B60" s="49">
        <f>ROW(B60) - ROW($B$9)</f>
        <v>51</v>
      </c>
      <c r="C60" s="53" t="s">
        <v>21</v>
      </c>
      <c r="D60" s="30" t="s">
        <v>76</v>
      </c>
      <c r="E60" s="30" t="s">
        <v>139</v>
      </c>
      <c r="F60" s="30" t="s">
        <v>179</v>
      </c>
      <c r="G60" s="30" t="s">
        <v>233</v>
      </c>
      <c r="H60" s="30" t="s">
        <v>314</v>
      </c>
      <c r="I60" s="30" t="s">
        <v>250</v>
      </c>
      <c r="J60" s="30" t="s">
        <v>305</v>
      </c>
      <c r="K60" s="30">
        <v>2</v>
      </c>
      <c r="L60" s="76">
        <f>K60*5</f>
        <v>10</v>
      </c>
      <c r="M60" s="90" t="s">
        <v>321</v>
      </c>
      <c r="N60" s="80">
        <v>0.1</v>
      </c>
      <c r="O60" s="68">
        <f>N60*L60</f>
        <v>1</v>
      </c>
      <c r="P60" s="30"/>
    </row>
    <row r="61" spans="1:16" x14ac:dyDescent="0.25">
      <c r="A61" s="1"/>
      <c r="B61" s="52">
        <f t="shared" si="0"/>
        <v>52</v>
      </c>
      <c r="C61" s="50" t="s">
        <v>21</v>
      </c>
      <c r="D61" s="31" t="s">
        <v>77</v>
      </c>
      <c r="E61" s="31" t="s">
        <v>140</v>
      </c>
      <c r="F61" s="31" t="s">
        <v>311</v>
      </c>
      <c r="G61" s="31" t="s">
        <v>234</v>
      </c>
      <c r="H61" s="31" t="s">
        <v>314</v>
      </c>
      <c r="I61" s="31" t="s">
        <v>250</v>
      </c>
      <c r="J61" s="31" t="s">
        <v>306</v>
      </c>
      <c r="K61" s="31">
        <v>2</v>
      </c>
      <c r="L61" s="75">
        <f t="shared" ref="L61" si="41">K61*5</f>
        <v>10</v>
      </c>
      <c r="M61" s="90" t="s">
        <v>321</v>
      </c>
      <c r="N61" s="80">
        <v>0.1</v>
      </c>
      <c r="O61" s="69">
        <f t="shared" ref="O61" si="42">N61*L61</f>
        <v>1</v>
      </c>
      <c r="P61" s="31"/>
    </row>
    <row r="62" spans="1:16" ht="24" x14ac:dyDescent="0.25">
      <c r="A62" s="1"/>
      <c r="B62" s="49">
        <f>ROW(B62) - ROW($B$9)</f>
        <v>53</v>
      </c>
      <c r="C62" s="53" t="s">
        <v>22</v>
      </c>
      <c r="D62" s="30" t="s">
        <v>78</v>
      </c>
      <c r="E62" s="30" t="s">
        <v>141</v>
      </c>
      <c r="F62" s="30" t="s">
        <v>311</v>
      </c>
      <c r="G62" s="30" t="s">
        <v>180</v>
      </c>
      <c r="H62" s="30" t="s">
        <v>314</v>
      </c>
      <c r="I62" s="30" t="s">
        <v>274</v>
      </c>
      <c r="J62" s="30" t="s">
        <v>314</v>
      </c>
      <c r="K62" s="30">
        <v>1</v>
      </c>
      <c r="L62" s="76">
        <f>K62*5</f>
        <v>5</v>
      </c>
      <c r="M62" s="90" t="s">
        <v>321</v>
      </c>
      <c r="N62" s="81">
        <v>0.14000000000000001</v>
      </c>
      <c r="O62" s="68">
        <f>N62*L62</f>
        <v>0.70000000000000007</v>
      </c>
      <c r="P62" s="30"/>
    </row>
    <row r="63" spans="1:16" x14ac:dyDescent="0.25">
      <c r="A63" s="1"/>
      <c r="B63" s="52">
        <f t="shared" si="0"/>
        <v>54</v>
      </c>
      <c r="C63" s="50" t="s">
        <v>23</v>
      </c>
      <c r="D63" s="31" t="s">
        <v>79</v>
      </c>
      <c r="E63" s="31" t="s">
        <v>142</v>
      </c>
      <c r="F63" s="31" t="s">
        <v>181</v>
      </c>
      <c r="G63" s="31" t="s">
        <v>235</v>
      </c>
      <c r="H63" s="31" t="s">
        <v>314</v>
      </c>
      <c r="I63" s="31" t="s">
        <v>252</v>
      </c>
      <c r="J63" s="31" t="s">
        <v>314</v>
      </c>
      <c r="K63" s="31">
        <v>1</v>
      </c>
      <c r="L63" s="75">
        <f t="shared" ref="L63" si="43">K63*5</f>
        <v>5</v>
      </c>
      <c r="M63" s="90" t="s">
        <v>321</v>
      </c>
      <c r="N63" s="80">
        <v>0.87</v>
      </c>
      <c r="O63" s="69">
        <f t="shared" ref="O63" si="44">N63*L63</f>
        <v>4.3499999999999996</v>
      </c>
      <c r="P63" s="31"/>
    </row>
    <row r="64" spans="1:16" x14ac:dyDescent="0.25">
      <c r="A64" s="1"/>
      <c r="B64" s="49">
        <f>ROW(B64) - ROW($B$9)</f>
        <v>55</v>
      </c>
      <c r="C64" s="53" t="s">
        <v>23</v>
      </c>
      <c r="D64" s="30" t="s">
        <v>80</v>
      </c>
      <c r="E64" s="30" t="s">
        <v>143</v>
      </c>
      <c r="F64" s="30" t="s">
        <v>182</v>
      </c>
      <c r="G64" s="30" t="s">
        <v>236</v>
      </c>
      <c r="H64" s="30" t="s">
        <v>314</v>
      </c>
      <c r="I64" s="30" t="s">
        <v>252</v>
      </c>
      <c r="J64" s="30" t="s">
        <v>314</v>
      </c>
      <c r="K64" s="30">
        <v>1</v>
      </c>
      <c r="L64" s="76">
        <f>K64*5</f>
        <v>5</v>
      </c>
      <c r="M64" s="90" t="s">
        <v>321</v>
      </c>
      <c r="N64" s="81">
        <v>0.87</v>
      </c>
      <c r="O64" s="68">
        <f>N64*L64</f>
        <v>4.3499999999999996</v>
      </c>
      <c r="P64" s="30"/>
    </row>
    <row r="65" spans="1:16" x14ac:dyDescent="0.25">
      <c r="A65" s="1"/>
      <c r="B65" s="52">
        <f t="shared" si="0"/>
        <v>56</v>
      </c>
      <c r="C65" s="50" t="s">
        <v>23</v>
      </c>
      <c r="D65" s="31" t="s">
        <v>81</v>
      </c>
      <c r="E65" s="31" t="s">
        <v>144</v>
      </c>
      <c r="F65" s="31" t="s">
        <v>183</v>
      </c>
      <c r="G65" s="31" t="s">
        <v>237</v>
      </c>
      <c r="H65" s="31" t="s">
        <v>314</v>
      </c>
      <c r="I65" s="31" t="s">
        <v>275</v>
      </c>
      <c r="J65" s="31" t="s">
        <v>314</v>
      </c>
      <c r="K65" s="31">
        <v>1</v>
      </c>
      <c r="L65" s="75">
        <f t="shared" ref="L65" si="45">K65*5</f>
        <v>5</v>
      </c>
      <c r="M65" s="90" t="s">
        <v>321</v>
      </c>
      <c r="N65" s="80">
        <v>1.1499999999999999</v>
      </c>
      <c r="O65" s="69">
        <f t="shared" ref="O65" si="46">N65*L65</f>
        <v>5.75</v>
      </c>
      <c r="P65" s="31"/>
    </row>
    <row r="66" spans="1:16" x14ac:dyDescent="0.25">
      <c r="A66" s="1"/>
      <c r="B66" s="49">
        <f>ROW(B66) - ROW($B$9)</f>
        <v>57</v>
      </c>
      <c r="C66" s="53" t="s">
        <v>23</v>
      </c>
      <c r="D66" s="30" t="s">
        <v>82</v>
      </c>
      <c r="E66" s="30" t="s">
        <v>145</v>
      </c>
      <c r="F66" s="30" t="s">
        <v>184</v>
      </c>
      <c r="G66" s="30" t="s">
        <v>238</v>
      </c>
      <c r="H66" s="30" t="s">
        <v>314</v>
      </c>
      <c r="I66" s="30" t="s">
        <v>276</v>
      </c>
      <c r="J66" s="30" t="s">
        <v>314</v>
      </c>
      <c r="K66" s="30">
        <v>1</v>
      </c>
      <c r="L66" s="76">
        <f>K66*5</f>
        <v>5</v>
      </c>
      <c r="M66" s="70" t="s">
        <v>321</v>
      </c>
      <c r="N66" s="81">
        <v>2.5099999999999998</v>
      </c>
      <c r="O66" s="68">
        <f>N66*L66</f>
        <v>12.549999999999999</v>
      </c>
      <c r="P66" s="30"/>
    </row>
    <row r="67" spans="1:16" x14ac:dyDescent="0.25">
      <c r="A67" s="1"/>
      <c r="B67" s="52">
        <f t="shared" si="0"/>
        <v>58</v>
      </c>
      <c r="C67" s="50" t="s">
        <v>23</v>
      </c>
      <c r="D67" s="31" t="s">
        <v>83</v>
      </c>
      <c r="E67" s="31" t="s">
        <v>146</v>
      </c>
      <c r="F67" s="31" t="s">
        <v>185</v>
      </c>
      <c r="G67" s="31" t="s">
        <v>239</v>
      </c>
      <c r="H67" s="31"/>
      <c r="I67" s="31" t="s">
        <v>277</v>
      </c>
      <c r="J67" s="30" t="s">
        <v>314</v>
      </c>
      <c r="K67" s="31">
        <v>1</v>
      </c>
      <c r="L67" s="75">
        <f t="shared" ref="L67" si="47">K67*5</f>
        <v>5</v>
      </c>
      <c r="M67" s="90" t="s">
        <v>321</v>
      </c>
      <c r="N67" s="80">
        <v>0.9</v>
      </c>
      <c r="O67" s="69">
        <f t="shared" ref="O67" si="48">N67*L67</f>
        <v>4.5</v>
      </c>
      <c r="P67" s="31"/>
    </row>
    <row r="68" spans="1:16" ht="30" x14ac:dyDescent="0.25">
      <c r="A68" s="1"/>
      <c r="B68" s="49">
        <f>ROW(B68) - ROW($B$9)</f>
        <v>59</v>
      </c>
      <c r="C68" s="53" t="s">
        <v>23</v>
      </c>
      <c r="D68" s="30" t="s">
        <v>84</v>
      </c>
      <c r="E68" s="30" t="s">
        <v>147</v>
      </c>
      <c r="F68" s="30" t="s">
        <v>311</v>
      </c>
      <c r="G68" s="30" t="s">
        <v>186</v>
      </c>
      <c r="H68" s="30" t="s">
        <v>314</v>
      </c>
      <c r="I68" s="30" t="s">
        <v>278</v>
      </c>
      <c r="J68" s="31" t="s">
        <v>314</v>
      </c>
      <c r="K68" s="30">
        <v>1</v>
      </c>
      <c r="L68" s="76">
        <f>K68*5</f>
        <v>5</v>
      </c>
      <c r="M68" s="94" t="s">
        <v>322</v>
      </c>
      <c r="N68" s="80" t="s">
        <v>314</v>
      </c>
      <c r="O68" s="69" t="s">
        <v>314</v>
      </c>
      <c r="P68" s="30"/>
    </row>
    <row r="69" spans="1:16" ht="30" x14ac:dyDescent="0.25">
      <c r="A69" s="1"/>
      <c r="B69" s="52">
        <f t="shared" si="0"/>
        <v>60</v>
      </c>
      <c r="C69" s="50" t="s">
        <v>10</v>
      </c>
      <c r="D69" s="31" t="s">
        <v>85</v>
      </c>
      <c r="E69" s="31" t="s">
        <v>148</v>
      </c>
      <c r="F69" s="31" t="s">
        <v>165</v>
      </c>
      <c r="G69" s="31" t="s">
        <v>240</v>
      </c>
      <c r="H69" s="31" t="s">
        <v>314</v>
      </c>
      <c r="I69" s="31" t="s">
        <v>279</v>
      </c>
      <c r="J69" s="30" t="s">
        <v>314</v>
      </c>
      <c r="K69" s="31">
        <v>1</v>
      </c>
      <c r="L69" s="75">
        <f t="shared" ref="L69" si="49">K69*5</f>
        <v>5</v>
      </c>
      <c r="M69" s="94" t="s">
        <v>322</v>
      </c>
      <c r="N69" s="80" t="s">
        <v>314</v>
      </c>
      <c r="O69" s="69" t="s">
        <v>314</v>
      </c>
      <c r="P69" s="31"/>
    </row>
    <row r="70" spans="1:16" x14ac:dyDescent="0.25">
      <c r="A70" s="1"/>
      <c r="B70" s="49">
        <f>ROW(B70) - ROW($B$9)</f>
        <v>61</v>
      </c>
      <c r="C70" s="53" t="s">
        <v>23</v>
      </c>
      <c r="D70" s="30" t="s">
        <v>86</v>
      </c>
      <c r="E70" s="30" t="s">
        <v>149</v>
      </c>
      <c r="F70" s="30" t="s">
        <v>187</v>
      </c>
      <c r="G70" s="30" t="s">
        <v>241</v>
      </c>
      <c r="H70" s="30" t="s">
        <v>314</v>
      </c>
      <c r="I70" s="30" t="s">
        <v>280</v>
      </c>
      <c r="J70" s="31" t="s">
        <v>314</v>
      </c>
      <c r="K70" s="30">
        <v>1</v>
      </c>
      <c r="L70" s="76">
        <f>K70*5</f>
        <v>5</v>
      </c>
      <c r="M70" s="90" t="s">
        <v>321</v>
      </c>
      <c r="N70" s="80">
        <v>1.0900000000000001</v>
      </c>
      <c r="O70" s="68">
        <f>N70*L70</f>
        <v>5.45</v>
      </c>
      <c r="P70" s="30"/>
    </row>
    <row r="71" spans="1:16" ht="30" x14ac:dyDescent="0.25">
      <c r="A71" s="1"/>
      <c r="B71" s="52">
        <f t="shared" si="0"/>
        <v>62</v>
      </c>
      <c r="C71" s="50" t="s">
        <v>23</v>
      </c>
      <c r="D71" s="31" t="s">
        <v>87</v>
      </c>
      <c r="E71" s="31" t="s">
        <v>150</v>
      </c>
      <c r="F71" s="31" t="s">
        <v>188</v>
      </c>
      <c r="G71" s="31" t="s">
        <v>242</v>
      </c>
      <c r="H71" s="31" t="s">
        <v>314</v>
      </c>
      <c r="I71" s="31" t="s">
        <v>280</v>
      </c>
      <c r="J71" s="30" t="s">
        <v>314</v>
      </c>
      <c r="K71" s="31">
        <v>1</v>
      </c>
      <c r="L71" s="75">
        <f t="shared" ref="L71" si="50">K71*5</f>
        <v>5</v>
      </c>
      <c r="M71" s="94" t="s">
        <v>322</v>
      </c>
      <c r="N71" s="80" t="s">
        <v>314</v>
      </c>
      <c r="O71" s="69" t="s">
        <v>314</v>
      </c>
      <c r="P71" s="31"/>
    </row>
    <row r="72" spans="1:16" ht="30.75" thickBot="1" x14ac:dyDescent="0.3">
      <c r="A72" s="1"/>
      <c r="B72" s="49">
        <f>ROW(B72) - ROW($B$9)</f>
        <v>63</v>
      </c>
      <c r="C72" s="53" t="s">
        <v>24</v>
      </c>
      <c r="D72" s="30" t="s">
        <v>88</v>
      </c>
      <c r="E72" s="30" t="s">
        <v>151</v>
      </c>
      <c r="F72" s="30" t="s">
        <v>311</v>
      </c>
      <c r="G72" s="30" t="s">
        <v>243</v>
      </c>
      <c r="H72" s="30" t="s">
        <v>314</v>
      </c>
      <c r="I72" s="30" t="s">
        <v>281</v>
      </c>
      <c r="J72" s="30" t="s">
        <v>307</v>
      </c>
      <c r="K72" s="30">
        <v>1</v>
      </c>
      <c r="L72" s="76">
        <f>K72*5</f>
        <v>5</v>
      </c>
      <c r="M72" s="94" t="s">
        <v>322</v>
      </c>
      <c r="N72" s="80" t="s">
        <v>314</v>
      </c>
      <c r="O72" s="69" t="s">
        <v>314</v>
      </c>
      <c r="P72" s="30"/>
    </row>
    <row r="73" spans="1:16" ht="16.5" thickBot="1" x14ac:dyDescent="0.3">
      <c r="A73" s="1"/>
      <c r="B73" s="58"/>
      <c r="C73" s="59"/>
      <c r="D73" s="60"/>
      <c r="E73" s="61"/>
      <c r="F73" s="62"/>
      <c r="G73" s="63"/>
      <c r="H73" s="63"/>
      <c r="I73" s="62"/>
      <c r="J73" s="63"/>
      <c r="K73" s="63"/>
      <c r="L73" s="63"/>
      <c r="M73" s="92"/>
      <c r="N73" s="63"/>
      <c r="O73" s="73">
        <f>SUM(O10:O72)</f>
        <v>132.06449999999998</v>
      </c>
      <c r="P73" s="33"/>
    </row>
    <row r="74" spans="1:16" ht="16.5" thickBot="1" x14ac:dyDescent="0.3">
      <c r="A74" s="1"/>
      <c r="B74" s="24"/>
      <c r="C74" s="40"/>
      <c r="D74" s="8"/>
      <c r="E74" s="9"/>
      <c r="F74" s="9"/>
      <c r="G74" s="9"/>
      <c r="H74" s="9"/>
      <c r="I74" s="9"/>
      <c r="J74" s="9"/>
      <c r="K74" s="9"/>
      <c r="L74" s="9"/>
      <c r="M74" s="93"/>
      <c r="N74" s="9"/>
      <c r="O74" s="74">
        <f>O73/5</f>
        <v>26.412899999999997</v>
      </c>
      <c r="P74" s="34"/>
    </row>
  </sheetData>
  <mergeCells count="2">
    <mergeCell ref="J1:P1"/>
    <mergeCell ref="P3:P8"/>
  </mergeCells>
  <hyperlinks>
    <hyperlink ref="M66" r:id="rId1"/>
    <hyperlink ref="M11" r:id="rId2"/>
    <hyperlink ref="M12" r:id="rId3"/>
    <hyperlink ref="M13" r:id="rId4"/>
    <hyperlink ref="M14" r:id="rId5"/>
    <hyperlink ref="M15" r:id="rId6"/>
    <hyperlink ref="M16" r:id="rId7"/>
    <hyperlink ref="M17" r:id="rId8"/>
    <hyperlink ref="M18" r:id="rId9"/>
    <hyperlink ref="M19" r:id="rId10"/>
    <hyperlink ref="M20" r:id="rId11"/>
    <hyperlink ref="M21" r:id="rId12"/>
    <hyperlink ref="M22" r:id="rId13"/>
    <hyperlink ref="M24" r:id="rId14"/>
    <hyperlink ref="M26" r:id="rId15"/>
    <hyperlink ref="M27" r:id="rId16"/>
    <hyperlink ref="M30" r:id="rId17"/>
    <hyperlink ref="M37" r:id="rId18"/>
    <hyperlink ref="M42" r:id="rId19"/>
    <hyperlink ref="M43" r:id="rId20"/>
    <hyperlink ref="M49" r:id="rId21"/>
    <hyperlink ref="M51" r:id="rId22"/>
    <hyperlink ref="M52" r:id="rId23"/>
    <hyperlink ref="M53" r:id="rId24"/>
    <hyperlink ref="M54" r:id="rId25"/>
    <hyperlink ref="M55" r:id="rId26"/>
    <hyperlink ref="M56" r:id="rId27"/>
    <hyperlink ref="M57" r:id="rId28"/>
    <hyperlink ref="M58" r:id="rId29"/>
    <hyperlink ref="M59" r:id="rId30"/>
    <hyperlink ref="M60" r:id="rId31"/>
    <hyperlink ref="M61" r:id="rId32"/>
    <hyperlink ref="M62" r:id="rId33"/>
    <hyperlink ref="M63" r:id="rId34"/>
    <hyperlink ref="M64" r:id="rId35"/>
    <hyperlink ref="M65" r:id="rId36"/>
    <hyperlink ref="M67" r:id="rId37"/>
    <hyperlink ref="M70" r:id="rId38"/>
  </hyperlinks>
  <pageMargins left="0.7" right="0.7" top="0.75" bottom="0.75" header="0.3" footer="0.3"/>
  <pageSetup paperSize="9" orientation="portrait" r:id="rId39"/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2023-07-20T12:24:27Z</dcterms:modified>
</cp:coreProperties>
</file>